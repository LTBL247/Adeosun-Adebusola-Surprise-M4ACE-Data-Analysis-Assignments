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E14C7B5-EE23-4278-AF5D-6B6BD09C2338}" xr6:coauthVersionLast="47" xr6:coauthVersionMax="47" xr10:uidLastSave="{00000000-0000-0000-0000-000000000000}"/>
  <bookViews>
    <workbookView xWindow="-120" yWindow="-120" windowWidth="20730" windowHeight="11160" firstSheet="2" activeTab="5" xr2:uid="{013A41DB-68D1-4FD8-AA10-C0446BDA00C1}"/>
  </bookViews>
  <sheets>
    <sheet name="Sheet1" sheetId="1" r:id="rId1"/>
    <sheet name="Tax Rate" sheetId="2" r:id="rId2"/>
    <sheet name="Order of Operations" sheetId="4" r:id="rId3"/>
    <sheet name="Basic Functions" sheetId="5" r:id="rId4"/>
    <sheet name="Conditional Functions" sheetId="6" r:id="rId5"/>
    <sheet name="Text Functions" sheetId="7" r:id="rId6"/>
  </sheets>
  <definedNames>
    <definedName name="TaxRate">'Tax Rate'!$A$2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9" i="7" l="1"/>
  <c r="A26" i="7"/>
  <c r="C23" i="7"/>
  <c r="B23" i="7"/>
  <c r="A23" i="7"/>
  <c r="A19" i="7"/>
  <c r="A15" i="7"/>
  <c r="A16" i="7"/>
  <c r="A12" i="7"/>
  <c r="A11" i="7"/>
  <c r="A7" i="7"/>
  <c r="A3" i="7"/>
  <c r="H3" i="6" a="1"/>
  <c r="H3" i="6" s="1"/>
  <c r="F3" i="6" a="1"/>
  <c r="F3" i="6" s="1"/>
  <c r="H2" i="6"/>
  <c r="G2" i="6"/>
  <c r="F2" i="6"/>
  <c r="D12" i="5"/>
  <c r="D11" i="5"/>
  <c r="D10" i="5"/>
  <c r="D7" i="5"/>
  <c r="D5" i="5"/>
  <c r="D6" i="5"/>
  <c r="D4" i="5"/>
  <c r="D3" i="5"/>
  <c r="D2" i="5"/>
  <c r="B5" i="4"/>
  <c r="B9" i="1"/>
  <c r="C7" i="1"/>
  <c r="D7" i="1"/>
  <c r="E7" i="1"/>
  <c r="B7" i="1"/>
  <c r="C6" i="1"/>
  <c r="D6" i="1"/>
  <c r="E6" i="1"/>
  <c r="B6" i="1"/>
  <c r="E5" i="1"/>
  <c r="C5" i="1"/>
  <c r="D5" i="1"/>
  <c r="B5" i="1"/>
  <c r="E4" i="1"/>
  <c r="C4" i="1"/>
  <c r="D4" i="1"/>
  <c r="B4" i="1"/>
  <c r="E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<sst xmlns="http://schemas.openxmlformats.org/spreadsheetml/2006/main" count="116" uniqueCount="57">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</sst>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ue@kevincookie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AC88-A9B4-49D4-B1A8-6F0FFFAAB527}">
  <dimension ref="A1:F12"/>
  <sheetViews>
    <sheetView workbookViewId="0">
      <selection activeCell="B7" sqref="B7"/>
    </sheetView>
  </sheetViews>
  <sheetFormatPr defaultRowHeight="15" x14ac:dyDescent="0.25"/>
  <cols>
    <col min="1" max="1" width="12.7109375" customWidth="1"/>
    <col min="2" max="2" width="18" customWidth="1"/>
    <col min="3" max="4" width="18.42578125" customWidth="1"/>
    <col min="5" max="5" width="10.28515625" customWidth="1"/>
  </cols>
  <sheetData>
    <row r="1" spans="1:6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 t="s">
        <v>5</v>
      </c>
      <c r="B2" s="1">
        <v>10</v>
      </c>
      <c r="C2" s="1">
        <v>8</v>
      </c>
      <c r="D2" s="1">
        <v>5</v>
      </c>
      <c r="E2" s="1">
        <v>23</v>
      </c>
      <c r="F2" s="3">
        <v>0.1</v>
      </c>
    </row>
    <row r="3" spans="1:6" x14ac:dyDescent="0.25">
      <c r="A3" s="2" t="s">
        <v>6</v>
      </c>
      <c r="B3" s="1">
        <v>4</v>
      </c>
      <c r="C3" s="1">
        <v>3</v>
      </c>
      <c r="D3" s="1">
        <v>2</v>
      </c>
      <c r="E3" s="1">
        <f>B3+C3+D3</f>
        <v>9</v>
      </c>
      <c r="F3" s="1"/>
    </row>
    <row r="4" spans="1:6" x14ac:dyDescent="0.25">
      <c r="A4" s="2" t="s">
        <v>7</v>
      </c>
      <c r="B4" s="1">
        <f>B2-B3</f>
        <v>6</v>
      </c>
      <c r="C4" s="1">
        <f t="shared" ref="C4:D4" si="0">C2-C3</f>
        <v>5</v>
      </c>
      <c r="D4" s="1">
        <f t="shared" si="0"/>
        <v>3</v>
      </c>
      <c r="E4" s="1">
        <f>E2-E3</f>
        <v>14</v>
      </c>
      <c r="F4" s="1"/>
    </row>
    <row r="5" spans="1:6" x14ac:dyDescent="0.25">
      <c r="A5" s="2" t="s">
        <v>8</v>
      </c>
      <c r="B5" s="1">
        <f>B4*$F$2</f>
        <v>0.60000000000000009</v>
      </c>
      <c r="C5" s="1">
        <f t="shared" ref="C5:D5" si="1">C4*$F$2</f>
        <v>0.5</v>
      </c>
      <c r="D5" s="1">
        <f t="shared" si="1"/>
        <v>0.30000000000000004</v>
      </c>
      <c r="E5" s="1">
        <f>E4*$F$2</f>
        <v>1.4000000000000001</v>
      </c>
      <c r="F5" s="1"/>
    </row>
    <row r="6" spans="1:6" x14ac:dyDescent="0.25">
      <c r="A6" s="2" t="s">
        <v>8</v>
      </c>
      <c r="B6" s="1">
        <f>B4*'Tax Rate'!$A$2</f>
        <v>0.60000000000000009</v>
      </c>
      <c r="C6" s="1">
        <f>C4*'Tax Rate'!$A$2</f>
        <v>0.5</v>
      </c>
      <c r="D6" s="1">
        <f>D4*'Tax Rate'!$A$2</f>
        <v>0.30000000000000004</v>
      </c>
      <c r="E6" s="1">
        <f>E4*'Tax Rate'!$A$2</f>
        <v>1.4000000000000001</v>
      </c>
      <c r="F6" s="1"/>
    </row>
    <row r="7" spans="1:6" x14ac:dyDescent="0.25">
      <c r="A7" s="1" t="s">
        <v>8</v>
      </c>
      <c r="B7" s="1">
        <f>B4*TaxRate</f>
        <v>0.60000000000000009</v>
      </c>
      <c r="C7" s="1">
        <f>C4*TaxRate</f>
        <v>0.5</v>
      </c>
      <c r="D7" s="1">
        <f>D4*TaxRate</f>
        <v>0.30000000000000004</v>
      </c>
      <c r="E7" s="1">
        <f>E4*TaxRate</f>
        <v>1.4000000000000001</v>
      </c>
      <c r="F7" s="1"/>
    </row>
    <row r="8" spans="1:6" x14ac:dyDescent="0.25">
      <c r="A8" s="1"/>
      <c r="B8" s="1"/>
      <c r="C8" s="4"/>
      <c r="D8" s="1"/>
      <c r="E8" s="1"/>
      <c r="F8" s="1"/>
    </row>
    <row r="9" spans="1:6" x14ac:dyDescent="0.25">
      <c r="A9" s="2" t="s">
        <v>9</v>
      </c>
      <c r="B9" s="1">
        <f>E4/2</f>
        <v>7</v>
      </c>
      <c r="C9" s="4"/>
      <c r="D9" s="1"/>
      <c r="E9" s="1"/>
      <c r="F9" s="1"/>
    </row>
    <row r="10" spans="1:6" x14ac:dyDescent="0.25">
      <c r="A10" s="1"/>
      <c r="B10" s="1"/>
      <c r="C10" s="4"/>
      <c r="D10" s="1"/>
      <c r="E10" s="1"/>
      <c r="F10" s="1"/>
    </row>
    <row r="11" spans="1:6" x14ac:dyDescent="0.25">
      <c r="A11" s="1"/>
      <c r="B11" s="1"/>
      <c r="C11" s="4"/>
      <c r="D11" s="1"/>
      <c r="E11" s="1"/>
      <c r="F11" s="1"/>
    </row>
    <row r="12" spans="1:6" x14ac:dyDescent="0.25">
      <c r="A12" s="1"/>
      <c r="B12" s="1"/>
      <c r="C12" s="4"/>
      <c r="D12" s="1"/>
      <c r="E12" s="1"/>
      <c r="F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61DE-413C-40E5-84E5-9E267E68129D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B2A7-D9FD-435F-9F44-5A699CFE2EF9}">
  <dimension ref="A1:D9"/>
  <sheetViews>
    <sheetView workbookViewId="0">
      <selection activeCell="B5" sqref="B5"/>
    </sheetView>
  </sheetViews>
  <sheetFormatPr defaultRowHeight="15" x14ac:dyDescent="0.25"/>
  <cols>
    <col min="1" max="1" width="36.42578125" customWidth="1"/>
    <col min="2" max="2" width="16.5703125" customWidth="1"/>
    <col min="4" max="4" width="10.85546875" customWidth="1"/>
  </cols>
  <sheetData>
    <row r="1" spans="1:4" x14ac:dyDescent="0.25">
      <c r="A1" s="1"/>
      <c r="B1" s="2" t="s">
        <v>0</v>
      </c>
      <c r="C1" s="1"/>
      <c r="D1" s="2" t="s">
        <v>4</v>
      </c>
    </row>
    <row r="2" spans="1:4" x14ac:dyDescent="0.25">
      <c r="A2" s="2" t="s">
        <v>5</v>
      </c>
      <c r="B2" s="1">
        <v>10</v>
      </c>
      <c r="C2" s="1"/>
      <c r="D2" s="3">
        <v>0.1</v>
      </c>
    </row>
    <row r="3" spans="1:4" x14ac:dyDescent="0.25">
      <c r="A3" s="2" t="s">
        <v>6</v>
      </c>
      <c r="B3" s="1">
        <v>4</v>
      </c>
      <c r="C3" s="1"/>
      <c r="D3" s="1"/>
    </row>
    <row r="4" spans="1:4" x14ac:dyDescent="0.25">
      <c r="A4" s="2" t="s">
        <v>7</v>
      </c>
      <c r="B4" s="1">
        <v>6</v>
      </c>
      <c r="C4" s="1"/>
      <c r="D4" s="1"/>
    </row>
    <row r="5" spans="1:4" x14ac:dyDescent="0.25">
      <c r="A5" s="2" t="s">
        <v>8</v>
      </c>
      <c r="B5" s="1">
        <f>(B2-B3)*D2</f>
        <v>0.60000000000000009</v>
      </c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5" t="s">
        <v>10</v>
      </c>
      <c r="B7" s="1"/>
      <c r="C7" s="1"/>
      <c r="D7" s="1"/>
    </row>
    <row r="8" spans="1:4" x14ac:dyDescent="0.25">
      <c r="A8" s="5" t="s">
        <v>11</v>
      </c>
      <c r="B8" s="1"/>
      <c r="C8" s="1"/>
      <c r="D8" s="1"/>
    </row>
    <row r="9" spans="1:4" x14ac:dyDescent="0.25">
      <c r="A9" s="1" t="s">
        <v>12</v>
      </c>
      <c r="B9" s="1"/>
      <c r="C9" s="1"/>
      <c r="D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B0F4-8514-4B1C-AB06-886CA37AD86E}">
  <dimension ref="A1:D12"/>
  <sheetViews>
    <sheetView workbookViewId="0">
      <selection activeCell="D13" sqref="D13"/>
    </sheetView>
  </sheetViews>
  <sheetFormatPr defaultRowHeight="15" x14ac:dyDescent="0.25"/>
  <cols>
    <col min="1" max="1" width="14.42578125" bestFit="1" customWidth="1"/>
    <col min="2" max="2" width="12.28515625" bestFit="1" customWidth="1"/>
    <col min="3" max="3" width="29.42578125" bestFit="1" customWidth="1"/>
  </cols>
  <sheetData>
    <row r="1" spans="1:4" x14ac:dyDescent="0.25">
      <c r="A1" s="2" t="s">
        <v>13</v>
      </c>
      <c r="B1" s="2" t="s">
        <v>14</v>
      </c>
      <c r="C1" s="1"/>
    </row>
    <row r="2" spans="1:4" x14ac:dyDescent="0.25">
      <c r="A2" s="1" t="s">
        <v>0</v>
      </c>
      <c r="B2" s="1">
        <v>97</v>
      </c>
      <c r="C2" s="1" t="s">
        <v>15</v>
      </c>
      <c r="D2">
        <f>SUM(B2:B8)</f>
        <v>421</v>
      </c>
    </row>
    <row r="3" spans="1:4" x14ac:dyDescent="0.25">
      <c r="A3" s="1" t="s">
        <v>1</v>
      </c>
      <c r="B3" s="1">
        <v>77</v>
      </c>
      <c r="C3" s="1" t="s">
        <v>16</v>
      </c>
      <c r="D3">
        <f>MAX(B2:B8)</f>
        <v>97</v>
      </c>
    </row>
    <row r="4" spans="1:4" x14ac:dyDescent="0.25">
      <c r="A4" s="1" t="s">
        <v>2</v>
      </c>
      <c r="B4" s="1">
        <v>67</v>
      </c>
      <c r="C4" s="1" t="s">
        <v>17</v>
      </c>
      <c r="D4">
        <f>MIN(B2:B8)</f>
        <v>36</v>
      </c>
    </row>
    <row r="5" spans="1:4" x14ac:dyDescent="0.25">
      <c r="A5" s="1" t="s">
        <v>18</v>
      </c>
      <c r="B5" s="1">
        <v>52</v>
      </c>
      <c r="C5" s="1" t="s">
        <v>19</v>
      </c>
      <c r="D5">
        <f>LARGE(B2:B8, 2)</f>
        <v>77</v>
      </c>
    </row>
    <row r="6" spans="1:4" x14ac:dyDescent="0.25">
      <c r="A6" s="1" t="s">
        <v>20</v>
      </c>
      <c r="B6" s="1">
        <v>52</v>
      </c>
      <c r="C6" s="1" t="s">
        <v>21</v>
      </c>
      <c r="D6">
        <f>SMALL(B2:B8, 2)</f>
        <v>40</v>
      </c>
    </row>
    <row r="7" spans="1:4" x14ac:dyDescent="0.25">
      <c r="A7" s="1" t="s">
        <v>22</v>
      </c>
      <c r="B7" s="1">
        <v>40</v>
      </c>
      <c r="C7" s="1" t="s">
        <v>23</v>
      </c>
      <c r="D7">
        <f>COUNTA(A2:A8)</f>
        <v>7</v>
      </c>
    </row>
    <row r="8" spans="1:4" x14ac:dyDescent="0.25">
      <c r="A8" s="1" t="s">
        <v>24</v>
      </c>
      <c r="B8" s="1">
        <v>36</v>
      </c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 t="s">
        <v>25</v>
      </c>
      <c r="D10">
        <f>AVERAGE(B2:B8)</f>
        <v>60.142857142857146</v>
      </c>
    </row>
    <row r="11" spans="1:4" x14ac:dyDescent="0.25">
      <c r="A11" s="1"/>
      <c r="B11" s="1"/>
      <c r="C11" s="1" t="s">
        <v>26</v>
      </c>
      <c r="D11">
        <f>MEDIAN(B2:B8)</f>
        <v>52</v>
      </c>
    </row>
    <row r="12" spans="1:4" x14ac:dyDescent="0.25">
      <c r="A12" s="1"/>
      <c r="B12" s="1"/>
      <c r="C12" s="1" t="s">
        <v>27</v>
      </c>
      <c r="D12">
        <f>MODE(B2:B8)</f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7A67-4034-44B1-83B3-2EF6FB06D5BC}">
  <dimension ref="A1:H22"/>
  <sheetViews>
    <sheetView topLeftCell="A2" workbookViewId="0">
      <selection activeCell="H4" sqref="H4"/>
    </sheetView>
  </sheetViews>
  <sheetFormatPr defaultRowHeight="15" x14ac:dyDescent="0.25"/>
  <cols>
    <col min="1" max="1" width="22" customWidth="1"/>
    <col min="2" max="2" width="19.140625" customWidth="1"/>
    <col min="3" max="3" width="14.28515625" customWidth="1"/>
    <col min="5" max="5" width="12.85546875" customWidth="1"/>
  </cols>
  <sheetData>
    <row r="1" spans="1:8" x14ac:dyDescent="0.25">
      <c r="A1" s="2" t="s">
        <v>13</v>
      </c>
      <c r="B1" s="2" t="s">
        <v>28</v>
      </c>
      <c r="C1" s="2" t="s">
        <v>14</v>
      </c>
      <c r="D1" s="1"/>
      <c r="E1" s="1"/>
    </row>
    <row r="2" spans="1:8" x14ac:dyDescent="0.25">
      <c r="A2" s="1" t="s">
        <v>0</v>
      </c>
      <c r="B2" s="1" t="s">
        <v>29</v>
      </c>
      <c r="C2" s="1">
        <v>28</v>
      </c>
      <c r="D2" s="1"/>
      <c r="E2" s="1" t="s">
        <v>30</v>
      </c>
      <c r="F2">
        <f>SUMIF(B:B,B2,C:C)</f>
        <v>362</v>
      </c>
      <c r="G2">
        <f>SUMIF(B:B,"united States",C:C)</f>
        <v>362</v>
      </c>
      <c r="H2">
        <f>SUMIF(B:B,"*s",C:C)</f>
        <v>802</v>
      </c>
    </row>
    <row r="3" spans="1:8" x14ac:dyDescent="0.25">
      <c r="A3" s="1" t="s">
        <v>1</v>
      </c>
      <c r="B3" s="1" t="s">
        <v>29</v>
      </c>
      <c r="C3" s="1">
        <v>32</v>
      </c>
      <c r="D3" s="1"/>
      <c r="E3" s="1" t="s">
        <v>31</v>
      </c>
      <c r="F3" cm="1">
        <f t="array" ref="F3:F4">SUMIFS(C:C,B:B,B2,A:A,A2:A3)</f>
        <v>28</v>
      </c>
      <c r="H3" cm="1">
        <f t="array" ref="H3">SUM(SUMIFS(C:C,B:B,B2,A:A,A2:A3))</f>
        <v>60</v>
      </c>
    </row>
    <row r="4" spans="1:8" x14ac:dyDescent="0.25">
      <c r="A4" s="1" t="s">
        <v>2</v>
      </c>
      <c r="B4" s="1" t="s">
        <v>29</v>
      </c>
      <c r="C4" s="1">
        <v>52</v>
      </c>
      <c r="D4" s="1"/>
      <c r="E4" s="1"/>
      <c r="F4">
        <v>32</v>
      </c>
    </row>
    <row r="5" spans="1:8" x14ac:dyDescent="0.25">
      <c r="A5" s="1" t="s">
        <v>18</v>
      </c>
      <c r="B5" s="1" t="s">
        <v>29</v>
      </c>
      <c r="C5" s="1">
        <v>67</v>
      </c>
      <c r="D5" s="1"/>
      <c r="E5" s="1"/>
    </row>
    <row r="6" spans="1:8" x14ac:dyDescent="0.25">
      <c r="A6" s="1" t="s">
        <v>20</v>
      </c>
      <c r="B6" s="1" t="s">
        <v>29</v>
      </c>
      <c r="C6" s="1">
        <v>44</v>
      </c>
      <c r="D6" s="1"/>
      <c r="E6" s="1"/>
    </row>
    <row r="7" spans="1:8" x14ac:dyDescent="0.25">
      <c r="A7" s="1" t="s">
        <v>22</v>
      </c>
      <c r="B7" s="1" t="s">
        <v>29</v>
      </c>
      <c r="C7" s="1">
        <v>39</v>
      </c>
      <c r="D7" s="1"/>
      <c r="E7" s="1" t="s">
        <v>32</v>
      </c>
    </row>
    <row r="8" spans="1:8" x14ac:dyDescent="0.25">
      <c r="A8" s="1" t="s">
        <v>24</v>
      </c>
      <c r="B8" s="1" t="s">
        <v>29</v>
      </c>
      <c r="C8" s="1">
        <v>100</v>
      </c>
      <c r="D8" s="1"/>
      <c r="E8" s="1" t="s">
        <v>33</v>
      </c>
    </row>
    <row r="9" spans="1:8" x14ac:dyDescent="0.25">
      <c r="A9" s="1" t="s">
        <v>0</v>
      </c>
      <c r="B9" s="1" t="s">
        <v>34</v>
      </c>
      <c r="C9" s="1">
        <v>75</v>
      </c>
      <c r="D9" s="1"/>
      <c r="E9" s="1" t="s">
        <v>35</v>
      </c>
    </row>
    <row r="10" spans="1:8" x14ac:dyDescent="0.25">
      <c r="A10" s="1" t="s">
        <v>1</v>
      </c>
      <c r="B10" s="1" t="s">
        <v>34</v>
      </c>
      <c r="C10" s="1">
        <v>32</v>
      </c>
      <c r="D10" s="1"/>
      <c r="E10" s="1" t="s">
        <v>36</v>
      </c>
    </row>
    <row r="11" spans="1:8" x14ac:dyDescent="0.25">
      <c r="A11" s="1" t="s">
        <v>2</v>
      </c>
      <c r="B11" s="1" t="s">
        <v>34</v>
      </c>
      <c r="C11" s="1">
        <v>40</v>
      </c>
      <c r="D11" s="1"/>
      <c r="E11" s="1" t="s">
        <v>37</v>
      </c>
    </row>
    <row r="12" spans="1:8" x14ac:dyDescent="0.25">
      <c r="A12" s="1" t="s">
        <v>18</v>
      </c>
      <c r="B12" s="1" t="s">
        <v>34</v>
      </c>
      <c r="C12" s="1">
        <v>21</v>
      </c>
      <c r="D12" s="1"/>
      <c r="E12" s="1" t="s">
        <v>38</v>
      </c>
    </row>
    <row r="13" spans="1:8" x14ac:dyDescent="0.25">
      <c r="A13" s="1" t="s">
        <v>20</v>
      </c>
      <c r="B13" s="1" t="s">
        <v>34</v>
      </c>
      <c r="C13" s="1">
        <v>58</v>
      </c>
      <c r="D13" s="1"/>
      <c r="E13" s="1"/>
    </row>
    <row r="14" spans="1:8" x14ac:dyDescent="0.25">
      <c r="A14" s="1" t="s">
        <v>22</v>
      </c>
      <c r="B14" s="1" t="s">
        <v>34</v>
      </c>
      <c r="C14" s="1">
        <v>21</v>
      </c>
      <c r="D14" s="1"/>
      <c r="E14" s="1"/>
    </row>
    <row r="15" spans="1:8" x14ac:dyDescent="0.25">
      <c r="A15" s="1" t="s">
        <v>24</v>
      </c>
      <c r="B15" s="1" t="s">
        <v>34</v>
      </c>
      <c r="C15" s="1">
        <v>54</v>
      </c>
      <c r="D15" s="1"/>
      <c r="E15" s="1"/>
    </row>
    <row r="16" spans="1:8" x14ac:dyDescent="0.25">
      <c r="A16" s="1" t="s">
        <v>0</v>
      </c>
      <c r="B16" s="1" t="s">
        <v>39</v>
      </c>
      <c r="C16" s="1">
        <v>55</v>
      </c>
      <c r="D16" s="1"/>
      <c r="E16" s="1"/>
    </row>
    <row r="17" spans="1:5" x14ac:dyDescent="0.25">
      <c r="A17" s="1" t="s">
        <v>1</v>
      </c>
      <c r="B17" s="1" t="s">
        <v>39</v>
      </c>
      <c r="C17" s="1">
        <v>41</v>
      </c>
      <c r="D17" s="1"/>
      <c r="E17" s="1"/>
    </row>
    <row r="18" spans="1:5" x14ac:dyDescent="0.25">
      <c r="A18" s="1" t="s">
        <v>2</v>
      </c>
      <c r="B18" s="1" t="s">
        <v>39</v>
      </c>
      <c r="C18" s="1">
        <v>92</v>
      </c>
      <c r="D18" s="1"/>
      <c r="E18" s="1"/>
    </row>
    <row r="19" spans="1:5" x14ac:dyDescent="0.25">
      <c r="A19" s="1" t="s">
        <v>18</v>
      </c>
      <c r="B19" s="1" t="s">
        <v>39</v>
      </c>
      <c r="C19" s="1">
        <v>89</v>
      </c>
      <c r="D19" s="1"/>
      <c r="E19" s="1"/>
    </row>
    <row r="20" spans="1:5" x14ac:dyDescent="0.25">
      <c r="A20" s="1" t="s">
        <v>20</v>
      </c>
      <c r="B20" s="1" t="s">
        <v>39</v>
      </c>
      <c r="C20" s="1">
        <v>34</v>
      </c>
      <c r="D20" s="1"/>
      <c r="E20" s="1"/>
    </row>
    <row r="21" spans="1:5" x14ac:dyDescent="0.25">
      <c r="A21" s="1" t="s">
        <v>22</v>
      </c>
      <c r="B21" s="1" t="s">
        <v>39</v>
      </c>
      <c r="C21" s="1">
        <v>29</v>
      </c>
      <c r="D21" s="1"/>
      <c r="E21" s="1"/>
    </row>
    <row r="22" spans="1:5" x14ac:dyDescent="0.25">
      <c r="A22" s="1" t="s">
        <v>24</v>
      </c>
      <c r="B22" s="1" t="s">
        <v>39</v>
      </c>
      <c r="C22" s="1">
        <v>100</v>
      </c>
      <c r="D22" s="1"/>
      <c r="E2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D9AF-E7ED-4EFB-8FDD-50EF54EFAD96}">
  <dimension ref="A1:C31"/>
  <sheetViews>
    <sheetView tabSelected="1" topLeftCell="A11" workbookViewId="0">
      <selection activeCell="A30" sqref="A30"/>
    </sheetView>
  </sheetViews>
  <sheetFormatPr defaultRowHeight="15" x14ac:dyDescent="0.25"/>
  <cols>
    <col min="1" max="1" width="36.85546875" customWidth="1"/>
    <col min="2" max="3" width="11.85546875" customWidth="1"/>
  </cols>
  <sheetData>
    <row r="1" spans="1:3" x14ac:dyDescent="0.25">
      <c r="A1" s="2" t="s">
        <v>40</v>
      </c>
      <c r="B1" s="1"/>
      <c r="C1" s="1"/>
    </row>
    <row r="2" spans="1:3" x14ac:dyDescent="0.25">
      <c r="A2" s="1" t="s">
        <v>41</v>
      </c>
      <c r="B2" s="1"/>
      <c r="C2" s="1"/>
    </row>
    <row r="3" spans="1:3" x14ac:dyDescent="0.25">
      <c r="A3" s="1" t="str">
        <f>PROPER(A2)</f>
        <v>Kevin Cookie Company</v>
      </c>
      <c r="B3" s="1"/>
      <c r="C3" s="1"/>
    </row>
    <row r="4" spans="1:3" x14ac:dyDescent="0.25">
      <c r="A4" s="1"/>
      <c r="B4" s="1"/>
      <c r="C4" s="1"/>
    </row>
    <row r="5" spans="1:3" x14ac:dyDescent="0.25">
      <c r="A5" s="2" t="s">
        <v>42</v>
      </c>
      <c r="B5" s="1"/>
      <c r="C5" s="1"/>
    </row>
    <row r="6" spans="1:3" x14ac:dyDescent="0.25">
      <c r="A6" s="1" t="s">
        <v>43</v>
      </c>
      <c r="B6" s="1"/>
      <c r="C6" s="1"/>
    </row>
    <row r="7" spans="1:3" x14ac:dyDescent="0.25">
      <c r="A7" s="1" t="str">
        <f>TRIM(A6)</f>
        <v>Kevin Cookie Company</v>
      </c>
      <c r="B7" s="1"/>
      <c r="C7" s="1"/>
    </row>
    <row r="8" spans="1:3" x14ac:dyDescent="0.25">
      <c r="A8" s="1"/>
      <c r="B8" s="1"/>
      <c r="C8" s="1"/>
    </row>
    <row r="9" spans="1:3" x14ac:dyDescent="0.25">
      <c r="A9" s="2" t="s">
        <v>44</v>
      </c>
      <c r="B9" s="1"/>
      <c r="C9" s="1"/>
    </row>
    <row r="10" spans="1:3" x14ac:dyDescent="0.25">
      <c r="A10" s="1" t="s">
        <v>45</v>
      </c>
      <c r="B10" s="1" t="s">
        <v>46</v>
      </c>
      <c r="C10" s="1" t="s">
        <v>47</v>
      </c>
    </row>
    <row r="11" spans="1:3" x14ac:dyDescent="0.25">
      <c r="A11" s="1" t="str">
        <f>_xlfn.CONCAT(A10,B10,C10)</f>
        <v>KevinCookieCompany</v>
      </c>
      <c r="B11" s="1"/>
      <c r="C11" s="1"/>
    </row>
    <row r="12" spans="1:3" x14ac:dyDescent="0.25">
      <c r="A12" s="1" t="str">
        <f>_xlfn.CONCAT(A10," ",B10, " ",C10)</f>
        <v>Kevin Cookie Company</v>
      </c>
      <c r="B12" s="1"/>
      <c r="C12" s="1"/>
    </row>
    <row r="13" spans="1:3" x14ac:dyDescent="0.25">
      <c r="A13" s="2" t="s">
        <v>48</v>
      </c>
      <c r="B13" s="1"/>
      <c r="C13" s="1"/>
    </row>
    <row r="14" spans="1:3" x14ac:dyDescent="0.25">
      <c r="A14" s="1" t="s">
        <v>45</v>
      </c>
      <c r="B14" s="1" t="s">
        <v>46</v>
      </c>
      <c r="C14" s="1" t="s">
        <v>47</v>
      </c>
    </row>
    <row r="15" spans="1:3" x14ac:dyDescent="0.25">
      <c r="A15" s="1" t="str">
        <f>A14&amp;B14&amp;C14</f>
        <v>KevinCookieCompany</v>
      </c>
      <c r="B15" s="1"/>
      <c r="C15" s="1"/>
    </row>
    <row r="16" spans="1:3" x14ac:dyDescent="0.25">
      <c r="A16" s="1" t="str">
        <f>A14&amp;B14&amp;C14</f>
        <v>KevinCookieCompany</v>
      </c>
      <c r="B16" s="1"/>
      <c r="C16" s="1"/>
    </row>
    <row r="17" spans="1:3" x14ac:dyDescent="0.25">
      <c r="A17" s="2" t="s">
        <v>49</v>
      </c>
      <c r="B17" s="1"/>
      <c r="C17" s="1"/>
    </row>
    <row r="18" spans="1:3" x14ac:dyDescent="0.25">
      <c r="A18" s="1" t="s">
        <v>45</v>
      </c>
      <c r="B18" s="1" t="s">
        <v>46</v>
      </c>
      <c r="C18" s="1" t="s">
        <v>47</v>
      </c>
    </row>
    <row r="19" spans="1:3" x14ac:dyDescent="0.25">
      <c r="A19" s="1" t="str">
        <f>_xlfn.TEXTJOIN(" ",TRUE,A18:C18)</f>
        <v>Kevin Cookie Company</v>
      </c>
      <c r="B19" s="1"/>
      <c r="C19" s="1"/>
    </row>
    <row r="20" spans="1:3" x14ac:dyDescent="0.25">
      <c r="A20" s="1"/>
      <c r="B20" s="1"/>
      <c r="C20" s="1"/>
    </row>
    <row r="21" spans="1:3" x14ac:dyDescent="0.25">
      <c r="A21" s="2" t="s">
        <v>50</v>
      </c>
      <c r="B21" s="1"/>
      <c r="C21" s="1"/>
    </row>
    <row r="22" spans="1:3" x14ac:dyDescent="0.25">
      <c r="A22" s="1" t="s">
        <v>51</v>
      </c>
      <c r="B22" s="1"/>
      <c r="C22" s="1"/>
    </row>
    <row r="23" spans="1:3" x14ac:dyDescent="0.25">
      <c r="A23" s="1" t="str">
        <f>RIGHT(A22,5)</f>
        <v>05486</v>
      </c>
      <c r="B23" s="1" t="str">
        <f>LEFT(A22,3)</f>
        <v>123</v>
      </c>
      <c r="C23" s="1" t="str">
        <f>MID(A22,5,11)</f>
        <v>Main Street</v>
      </c>
    </row>
    <row r="24" spans="1:3" x14ac:dyDescent="0.25">
      <c r="A24" s="2" t="s">
        <v>52</v>
      </c>
      <c r="B24" s="1"/>
      <c r="C24" s="1"/>
    </row>
    <row r="25" spans="1:3" x14ac:dyDescent="0.25">
      <c r="A25" s="1" t="s">
        <v>53</v>
      </c>
      <c r="B25" s="1"/>
      <c r="C25" s="1"/>
    </row>
    <row r="26" spans="1:3" x14ac:dyDescent="0.25">
      <c r="A26" s="1">
        <f>LEN(A25)</f>
        <v>20</v>
      </c>
      <c r="B26" s="1"/>
      <c r="C26" s="1"/>
    </row>
    <row r="27" spans="1:3" x14ac:dyDescent="0.25">
      <c r="A27" s="2" t="s">
        <v>54</v>
      </c>
      <c r="B27" s="1"/>
      <c r="C27" s="1"/>
    </row>
    <row r="28" spans="1:3" x14ac:dyDescent="0.25">
      <c r="A28" s="6" t="s">
        <v>55</v>
      </c>
      <c r="B28" s="1"/>
      <c r="C28" s="1"/>
    </row>
    <row r="29" spans="1:3" x14ac:dyDescent="0.25">
      <c r="A29" s="1">
        <f>FIND("@",A28)</f>
        <v>4</v>
      </c>
      <c r="B29" s="1"/>
      <c r="C29" s="1"/>
    </row>
    <row r="30" spans="1:3" x14ac:dyDescent="0.25">
      <c r="A30" s="1"/>
      <c r="B30" s="1"/>
      <c r="C30" s="1"/>
    </row>
    <row r="31" spans="1:3" x14ac:dyDescent="0.25">
      <c r="A31" s="2" t="s">
        <v>56</v>
      </c>
      <c r="B31" s="1"/>
      <c r="C31" s="1"/>
    </row>
  </sheetData>
  <hyperlinks>
    <hyperlink ref="A28" r:id="rId1" display="mailto:sue@kevincookiecompany.com" xr:uid="{45DC43A1-8BDA-49DA-A44E-F1F42C5CC7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Tax Rate</vt:lpstr>
      <vt:lpstr>Order of Operations</vt:lpstr>
      <vt:lpstr>Basic Functions</vt:lpstr>
      <vt:lpstr>Conditional Functions</vt:lpstr>
      <vt:lpstr>Text Functions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ADEBUSOLA ADEOSUN</dc:creator>
  <cp:lastModifiedBy>ADEBUSOLA ADEOSUN</cp:lastModifiedBy>
  <dcterms:created xsi:type="dcterms:W3CDTF">2026-03-04T14:51:22Z</dcterms:created>
  <dcterms:modified xsi:type="dcterms:W3CDTF">2026-03-06T00:19:33Z</dcterms:modified>
</cp:coreProperties>
</file>