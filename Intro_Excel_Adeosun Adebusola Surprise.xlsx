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70EF4B-CD30-421E-A5F9-D98B4507DB51}" xr6:coauthVersionLast="47" xr6:coauthVersionMax="47" xr10:uidLastSave="{00000000-0000-0000-0000-000000000000}"/>
  <bookViews>
    <workbookView xWindow="-120" yWindow="-120" windowWidth="20730" windowHeight="11160" xr2:uid="{6A3B3037-2859-4224-927E-2B3C3BD0C385}"/>
  </bookViews>
  <sheets>
    <sheet name="Sheet1" sheetId="1" r:id="rId1"/>
    <sheet name="Sheet2" sheetId="2" r:id="rId2"/>
    <sheet name="Sheet3" sheetId="3" r:id="rId3"/>
  </sheets>
  <definedNames>
    <definedName name="_xlchart.v1.0" hidden="1">Sheet1!$A$2:$B$74</definedName>
    <definedName name="_xlchart.v1.1" hidden="1">Sheet1!$C$2:$C$74</definedName>
    <definedName name="_xlchart.v1.10" hidden="1">Sheet1!$F$2:$F$74</definedName>
    <definedName name="_xlchart.v1.11" hidden="1">Sheet1!$G$2:$G$74</definedName>
    <definedName name="_xlchart.v1.2" hidden="1">Sheet1!$D$2:$D$74</definedName>
    <definedName name="_xlchart.v1.3" hidden="1">Sheet1!$E$2:$E$74</definedName>
    <definedName name="_xlchart.v1.4" hidden="1">Sheet1!$F$2:$F$74</definedName>
    <definedName name="_xlchart.v1.5" hidden="1">Sheet1!$G$2:$G$74</definedName>
    <definedName name="_xlchart.v1.6" hidden="1">Sheet1!$A$2:$B$74</definedName>
    <definedName name="_xlchart.v1.7" hidden="1">Sheet1!$C$2:$C$74</definedName>
    <definedName name="_xlchart.v1.8" hidden="1">Sheet1!$D$2:$D$74</definedName>
    <definedName name="_xlchart.v1.9" hidden="1">Sheet1!$E$2:$E$74</definedName>
    <definedName name="TaxesOwed">Sheet1!$F$2:$F$71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" l="1"/>
  <c r="D74" i="1" s="1"/>
  <c r="C73" i="1"/>
  <c r="C74" i="1" s="1"/>
  <c r="E2" i="1"/>
  <c r="F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E3" i="1"/>
  <c r="F3" i="1" s="1"/>
  <c r="C72" i="1" l="1"/>
  <c r="D72" i="1"/>
  <c r="E73" i="1"/>
  <c r="E74" i="1" s="1"/>
  <c r="E72" i="1" s="1"/>
  <c r="F4" i="1"/>
  <c r="F73" i="1" s="1"/>
  <c r="F74" i="1" s="1"/>
  <c r="F72" i="1" l="1"/>
</calcChain>
</file>

<file path=xl/sharedStrings.xml><?xml version="1.0" encoding="utf-8"?>
<sst xmlns="http://schemas.openxmlformats.org/spreadsheetml/2006/main" count="80" uniqueCount="79">
  <si>
    <t>Employee ID</t>
  </si>
  <si>
    <t>Name</t>
  </si>
  <si>
    <t>Hourly Wage</t>
  </si>
  <si>
    <t>Hours Worked</t>
  </si>
  <si>
    <t>Taxable Income</t>
  </si>
  <si>
    <t>Taxes to Be Paid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</si>
  <si>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</si>
  <si>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</si>
  <si>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</si>
  <si>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</si>
  <si>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</si>
  <si>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</si>
  <si>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</si>
  <si>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</si>
  <si>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</si>
  <si>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</si>
  <si>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</si>
  <si>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</si>
  <si>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</si>
  <si>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</si>
  <si>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</si>
  <si>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</si>
  <si>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</si>
  <si>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</si>
  <si>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</si>
  <si>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</si>
  <si>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</si>
  <si>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</si>
  <si>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</si>
  <si>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</si>
  <si>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</si>
  <si>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</si>
  <si>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</si>
  <si>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</si>
  <si>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</si>
  <si>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</si>
  <si>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</si>
  <si>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</si>
  <si>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</si>
  <si>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</si>
  <si>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</si>
  <si>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</si>
  <si>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</si>
  <si>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</si>
  <si>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</si>
  <si>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</si>
  <si>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</si>
  <si>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</si>
  <si>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</si>
  <si>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</si>
  <si>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</si>
  <si>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</si>
  <si>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</si>
  <si>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</si>
  <si>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</si>
  <si>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</si>
  <si>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</si>
  <si>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</si>
  <si>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</si>
  <si>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</si>
  <si>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</si>
  <si>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</si>
  <si>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</si>
  <si>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</si>
  <si>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</si>
  <si>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</si>
  <si>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</si>
  <si>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</si>
  <si>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</si>
  <si>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</si>
  <si>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</si>
  <si>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</si>
  <si>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</si>
  <si>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</si>
  <si>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</si>
  <si>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</si>
  <si>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</si>
  <si>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Tax Rate</t>
  </si>
  <si>
    <t>No.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</si>
</sst>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44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/>
    </xf>
    <xf numFmtId="44" fontId="0" fillId="0" borderId="0" xfId="0" applyNumberFormat="1"/>
    <xf numFmtId="44" fontId="4" fillId="0" borderId="0" xfId="0" applyNumberFormat="1" applyFont="1"/>
    <xf numFmtId="44" fontId="0" fillId="0" borderId="0" xfId="0" applyNumberFormat="1" applyAlignment="1">
      <alignment vertic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right"/>
    </xf>
    <xf numFmtId="44" fontId="5" fillId="0" borderId="0" xfId="0" applyNumberFormat="1" applyFont="1" applyAlignment="1">
      <alignment horizontal="right"/>
    </xf>
    <xf numFmtId="44" fontId="6" fillId="0" borderId="0" xfId="0" applyNumberFormat="1" applyFont="1"/>
    <xf numFmtId="0" fontId="6" fillId="0" borderId="0" xfId="0" applyFont="1"/>
    <xf numFmtId="0" fontId="7" fillId="0" borderId="0" xfId="0" applyFont="1"/>
    <xf numFmtId="49" fontId="6" fillId="0" borderId="0" xfId="0" applyNumberFormat="1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Data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Sheet1!$A$4:$B$4</c:f>
              <c:strCache>
                <c:ptCount val="2"/>
                <c:pt idx="0">
                  <c:v>3</c:v>
                </c:pt>
                <c:pt idx="1">
                  <c:v>Amelia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Sheet1!$C$4:$G$4</c:f>
              <c:numCache>
                <c:formatCode>General</c:formatCode>
                <c:ptCount val="5"/>
                <c:pt idx="0" formatCode="&quot;$&quot;#,##0.00">
                  <c:v>16</c:v>
                </c:pt>
                <c:pt idx="1">
                  <c:v>125</c:v>
                </c:pt>
                <c:pt idx="2" formatCode="_(&quot;$&quot;* #,##0.00_);_(&quot;$&quot;* \(#,##0.00\);_(&quot;$&quot;* &quot;-&quot;??_);_(@_)">
                  <c:v>2000</c:v>
                </c:pt>
                <c:pt idx="3" formatCode="_(&quot;$&quot;* #,##0.00_);_(&quot;$&quot;* \(#,##0.00\);_(&quot;$&quot;* &quot;-&quot;??_);_(@_)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8-4DE2-A3CB-F606C10D9415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2</c:v>
                </c:pt>
                <c:pt idx="1">
                  <c:v>James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Sheet1!$C$3:$G$3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160</c:v>
                </c:pt>
                <c:pt idx="2" formatCode="_(&quot;$&quot;* #,##0.00_);_(&quot;$&quot;* \(#,##0.00\);_(&quot;$&quot;* &quot;-&quot;??_);_(@_)">
                  <c:v>2480</c:v>
                </c:pt>
                <c:pt idx="3" formatCode="_(&quot;$&quot;* #,##0.00_);_(&quot;$&quot;* \(#,##0.00\);_(&quot;$&quot;* &quot;-&quot;??_);_(@_)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8-4DE2-A3CB-F606C10D9415}"/>
            </c:ext>
          </c:extLst>
        </c:ser>
        <c:ser>
          <c:idx val="3"/>
          <c:order val="3"/>
          <c:tx>
            <c:strRef>
              <c:f>Sheet1!$A$5:$B$5</c:f>
              <c:strCache>
                <c:ptCount val="2"/>
                <c:pt idx="0">
                  <c:v>4</c:v>
                </c:pt>
                <c:pt idx="1">
                  <c:v>Freddy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Sheet1!$C$5:$G$5</c:f>
              <c:numCache>
                <c:formatCode>General</c:formatCode>
                <c:ptCount val="5"/>
                <c:pt idx="0" formatCode="&quot;$&quot;#,##0.00">
                  <c:v>13.75</c:v>
                </c:pt>
                <c:pt idx="1">
                  <c:v>165</c:v>
                </c:pt>
                <c:pt idx="2" formatCode="_(&quot;$&quot;* #,##0.00_);_(&quot;$&quot;* \(#,##0.00\);_(&quot;$&quot;* &quot;-&quot;??_);_(@_)">
                  <c:v>2268.75</c:v>
                </c:pt>
                <c:pt idx="3" formatCode="_(&quot;$&quot;* #,##0.00_);_(&quot;$&quot;* \(#,##0.00\);_(&quot;$&quot;* &quot;-&quot;??_);_(@_)">
                  <c:v>113.4375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D8-4DE2-A3CB-F606C10D9415}"/>
            </c:ext>
          </c:extLst>
        </c:ser>
        <c:ser>
          <c:idx val="4"/>
          <c:order val="4"/>
          <c:tx>
            <c:strRef>
              <c:f>Sheet1!$A$6:$B$6</c:f>
              <c:strCache>
                <c:ptCount val="2"/>
                <c:pt idx="0">
                  <c:v>5</c:v>
                </c:pt>
                <c:pt idx="1">
                  <c:v>Jeff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144</c:v>
                </c:pt>
                <c:pt idx="2" formatCode="_(&quot;$&quot;* #,##0.00_);_(&quot;$&quot;* \(#,##0.00\);_(&quot;$&quot;* &quot;-&quot;??_);_(@_)">
                  <c:v>2232</c:v>
                </c:pt>
                <c:pt idx="3" formatCode="_(&quot;$&quot;* #,##0.00_);_(&quot;$&quot;* \(#,##0.00\);_(&quot;$&quot;* &quot;-&quot;??_);_(@_)">
                  <c:v>111.60000000000001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D8-4DE2-A3CB-F606C10D9415}"/>
            </c:ext>
          </c:extLst>
        </c:ser>
        <c:ser>
          <c:idx val="0"/>
          <c:order val="0"/>
          <c:tx>
            <c:strRef>
              <c:f>Sheet1!$A$2:$B$2</c:f>
              <c:strCache>
                <c:ptCount val="2"/>
                <c:pt idx="0">
                  <c:v>1</c:v>
                </c:pt>
                <c:pt idx="1">
                  <c:v>Julia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Sheet1!$C$2:$G$2</c:f>
              <c:numCache>
                <c:formatCode>General</c:formatCode>
                <c:ptCount val="5"/>
                <c:pt idx="0" formatCode="&quot;$&quot;#,##0.00">
                  <c:v>14.25</c:v>
                </c:pt>
                <c:pt idx="1">
                  <c:v>158</c:v>
                </c:pt>
                <c:pt idx="2" formatCode="_(&quot;$&quot;* #,##0.00_);_(&quot;$&quot;* \(#,##0.00\);_(&quot;$&quot;* &quot;-&quot;??_);_(@_)">
                  <c:v>2251.5</c:v>
                </c:pt>
                <c:pt idx="3" formatCode="_(&quot;$&quot;* #,##0.00_);_(&quot;$&quot;* \(#,##0.00\);_(&quot;$&quot;* &quot;-&quot;??_);_(@_)">
                  <c:v>112.575</c:v>
                </c:pt>
                <c:pt idx="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8-4DE2-A3CB-F606C10D9415}"/>
            </c:ext>
          </c:extLst>
        </c:ser>
        <c:ser>
          <c:idx val="5"/>
          <c:order val="5"/>
          <c:tx>
            <c:strRef>
              <c:f>Sheet1!$A$7:$B$7</c:f>
              <c:strCache>
                <c:ptCount val="2"/>
                <c:pt idx="0">
                  <c:v>6</c:v>
                </c:pt>
                <c:pt idx="1">
                  <c:v>Jefferson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Sheet1!$C$7:$G$7</c:f>
              <c:numCache>
                <c:formatCode>General</c:formatCode>
                <c:ptCount val="5"/>
                <c:pt idx="0" formatCode="&quot;$&quot;#,##0.00">
                  <c:v>17</c:v>
                </c:pt>
                <c:pt idx="1">
                  <c:v>174</c:v>
                </c:pt>
                <c:pt idx="2" formatCode="_(&quot;$&quot;* #,##0.00_);_(&quot;$&quot;* \(#,##0.00\);_(&quot;$&quot;* &quot;-&quot;??_);_(@_)">
                  <c:v>2958</c:v>
                </c:pt>
                <c:pt idx="3" formatCode="_(&quot;$&quot;* #,##0.00_);_(&quot;$&quot;* \(#,##0.00\);_(&quot;$&quot;* &quot;-&quot;??_);_(@_)">
                  <c:v>147.9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D8-4DE2-A3CB-F606C10D9415}"/>
            </c:ext>
          </c:extLst>
        </c:ser>
        <c:ser>
          <c:idx val="6"/>
          <c:order val="6"/>
          <c:tx>
            <c:strRef>
              <c:f>Sheet1!$A$8:$B$8</c:f>
              <c:strCache>
                <c:ptCount val="2"/>
                <c:pt idx="0">
                  <c:v>7</c:v>
                </c:pt>
                <c:pt idx="1">
                  <c:v>Clifford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Sheet1!$C$8:$G$8</c:f>
              <c:numCache>
                <c:formatCode>General</c:formatCode>
                <c:ptCount val="5"/>
                <c:pt idx="0" formatCode="&quot;$&quot;#,##0.00">
                  <c:v>13.75</c:v>
                </c:pt>
                <c:pt idx="1">
                  <c:v>161</c:v>
                </c:pt>
                <c:pt idx="2" formatCode="_(&quot;$&quot;* #,##0.00_);_(&quot;$&quot;* \(#,##0.00\);_(&quot;$&quot;* &quot;-&quot;??_);_(@_)">
                  <c:v>2213.75</c:v>
                </c:pt>
                <c:pt idx="3" formatCode="_(&quot;$&quot;* #,##0.00_);_(&quot;$&quot;* \(#,##0.00\);_(&quot;$&quot;* &quot;-&quot;??_);_(@_)">
                  <c:v>110.6875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D8-4DE2-A3CB-F606C10D9415}"/>
            </c:ext>
          </c:extLst>
        </c:ser>
        <c:ser>
          <c:idx val="7"/>
          <c:order val="7"/>
          <c:tx>
            <c:strRef>
              <c:f>Sheet1!$A$9:$B$9</c:f>
              <c:strCache>
                <c:ptCount val="2"/>
                <c:pt idx="0">
                  <c:v>8</c:v>
                </c:pt>
                <c:pt idx="1">
                  <c:v>Janay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Sheet1!$C$9:$G$9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69</c:v>
                </c:pt>
                <c:pt idx="2" formatCode="_(&quot;$&quot;* #,##0.00_);_(&quot;$&quot;* \(#,##0.00\);_(&quot;$&quot;* &quot;-&quot;??_);_(@_)">
                  <c:v>1069.5</c:v>
                </c:pt>
                <c:pt idx="3" formatCode="_(&quot;$&quot;* #,##0.00_);_(&quot;$&quot;* \(#,##0.00\);_(&quot;$&quot;* &quot;-&quot;??_);_(@_)">
                  <c:v>53.475000000000001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D8-4DE2-A3CB-F606C10D9415}"/>
            </c:ext>
          </c:extLst>
        </c:ser>
        <c:ser>
          <c:idx val="8"/>
          <c:order val="8"/>
          <c:tx>
            <c:strRef>
              <c:f>Sheet1!$A$10:$B$10</c:f>
              <c:strCache>
                <c:ptCount val="2"/>
                <c:pt idx="0">
                  <c:v>9</c:v>
                </c:pt>
                <c:pt idx="1">
                  <c:v>Tanisha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Sheet1!$C$10:$G$10</c:f>
              <c:numCache>
                <c:formatCode>General</c:formatCode>
                <c:ptCount val="5"/>
                <c:pt idx="0" formatCode="&quot;$&quot;#,##0.00">
                  <c:v>10.75</c:v>
                </c:pt>
                <c:pt idx="1">
                  <c:v>85</c:v>
                </c:pt>
                <c:pt idx="2" formatCode="_(&quot;$&quot;* #,##0.00_);_(&quot;$&quot;* \(#,##0.00\);_(&quot;$&quot;* &quot;-&quot;??_);_(@_)">
                  <c:v>913.75</c:v>
                </c:pt>
                <c:pt idx="3" formatCode="_(&quot;$&quot;* #,##0.00_);_(&quot;$&quot;* \(#,##0.00\);_(&quot;$&quot;* &quot;-&quot;??_);_(@_)">
                  <c:v>45.6875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D8-4DE2-A3CB-F606C10D9415}"/>
            </c:ext>
          </c:extLst>
        </c:ser>
        <c:ser>
          <c:idx val="9"/>
          <c:order val="9"/>
          <c:tx>
            <c:strRef>
              <c:f>Sheet1!$A$11:$B$11</c:f>
              <c:strCache>
                <c:ptCount val="2"/>
                <c:pt idx="0">
                  <c:v>10</c:v>
                </c:pt>
                <c:pt idx="1">
                  <c:v>Tre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Sheet1!$C$11:$G$11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117</c:v>
                </c:pt>
                <c:pt idx="2" formatCode="_(&quot;$&quot;* #,##0.00_);_(&quot;$&quot;* \(#,##0.00\);_(&quot;$&quot;* &quot;-&quot;??_);_(@_)">
                  <c:v>1813.5</c:v>
                </c:pt>
                <c:pt idx="3" formatCode="_(&quot;$&quot;* #,##0.00_);_(&quot;$&quot;* \(#,##0.00\);_(&quot;$&quot;* &quot;-&quot;??_);_(@_)">
                  <c:v>90.675000000000011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D8-4DE2-A3CB-F606C10D9415}"/>
            </c:ext>
          </c:extLst>
        </c:ser>
        <c:ser>
          <c:idx val="10"/>
          <c:order val="10"/>
          <c:tx>
            <c:strRef>
              <c:f>Sheet1!$A$12:$B$12</c:f>
              <c:strCache>
                <c:ptCount val="2"/>
                <c:pt idx="0">
                  <c:v>11</c:v>
                </c:pt>
                <c:pt idx="1">
                  <c:v>Ariana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Sheet1!$C$12:$G$12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160</c:v>
                </c:pt>
                <c:pt idx="2" formatCode="_(&quot;$&quot;* #,##0.00_);_(&quot;$&quot;* \(#,##0.00\);_(&quot;$&quot;* &quot;-&quot;??_);_(@_)">
                  <c:v>1920</c:v>
                </c:pt>
                <c:pt idx="3" formatCode="_(&quot;$&quot;* #,##0.00_);_(&quot;$&quot;* \(#,##0.00\);_(&quot;$&quot;* &quot;-&quot;??_);_(@_)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D8-4DE2-A3CB-F606C10D9415}"/>
            </c:ext>
          </c:extLst>
        </c:ser>
        <c:ser>
          <c:idx val="11"/>
          <c:order val="11"/>
          <c:tx>
            <c:strRef>
              <c:f>Sheet1!$A$13:$B$13</c:f>
              <c:strCache>
                <c:ptCount val="2"/>
                <c:pt idx="0">
                  <c:v>12</c:v>
                </c:pt>
                <c:pt idx="1">
                  <c:v>Marisela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152</c:v>
                </c:pt>
                <c:pt idx="2" formatCode="_(&quot;$&quot;* #,##0.00_);_(&quot;$&quot;* \(#,##0.00\);_(&quot;$&quot;* &quot;-&quot;??_);_(@_)">
                  <c:v>2356</c:v>
                </c:pt>
                <c:pt idx="3" formatCode="_(&quot;$&quot;* #,##0.00_);_(&quot;$&quot;* \(#,##0.00\);_(&quot;$&quot;* &quot;-&quot;??_);_(@_)">
                  <c:v>117.80000000000001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D8-4DE2-A3CB-F606C10D9415}"/>
            </c:ext>
          </c:extLst>
        </c:ser>
        <c:ser>
          <c:idx val="12"/>
          <c:order val="12"/>
          <c:tx>
            <c:strRef>
              <c:f>Sheet1!$A$14:$B$14</c:f>
              <c:strCache>
                <c:ptCount val="2"/>
                <c:pt idx="0">
                  <c:v>13</c:v>
                </c:pt>
                <c:pt idx="1">
                  <c:v>Adrienne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Sheet1!$C$14:$G$14</c:f>
              <c:numCache>
                <c:formatCode>General</c:formatCode>
                <c:ptCount val="5"/>
                <c:pt idx="0" formatCode="&quot;$&quot;#,##0.00">
                  <c:v>11.75</c:v>
                </c:pt>
                <c:pt idx="1">
                  <c:v>129</c:v>
                </c:pt>
                <c:pt idx="2" formatCode="_(&quot;$&quot;* #,##0.00_);_(&quot;$&quot;* \(#,##0.00\);_(&quot;$&quot;* &quot;-&quot;??_);_(@_)">
                  <c:v>1515.75</c:v>
                </c:pt>
                <c:pt idx="3" formatCode="_(&quot;$&quot;* #,##0.00_);_(&quot;$&quot;* \(#,##0.00\);_(&quot;$&quot;* &quot;-&quot;??_);_(@_)">
                  <c:v>75.787500000000009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AD8-4DE2-A3CB-F606C10D9415}"/>
            </c:ext>
          </c:extLst>
        </c:ser>
        <c:ser>
          <c:idx val="13"/>
          <c:order val="13"/>
          <c:tx>
            <c:strRef>
              <c:f>Sheet1!$A$15:$B$15</c:f>
              <c:strCache>
                <c:ptCount val="2"/>
                <c:pt idx="0">
                  <c:v>14</c:v>
                </c:pt>
                <c:pt idx="1">
                  <c:v>Keegan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Sheet1!$C$15:$G$15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74</c:v>
                </c:pt>
                <c:pt idx="2" formatCode="_(&quot;$&quot;* #,##0.00_);_(&quot;$&quot;* \(#,##0.00\);_(&quot;$&quot;* &quot;-&quot;??_);_(@_)">
                  <c:v>888</c:v>
                </c:pt>
                <c:pt idx="3" formatCode="_(&quot;$&quot;* #,##0.00_);_(&quot;$&quot;* \(#,##0.00\);_(&quot;$&quot;* &quot;-&quot;??_);_(@_)">
                  <c:v>44.400000000000006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D8-4DE2-A3CB-F606C10D9415}"/>
            </c:ext>
          </c:extLst>
        </c:ser>
        <c:ser>
          <c:idx val="14"/>
          <c:order val="14"/>
          <c:tx>
            <c:strRef>
              <c:f>Sheet1!$A$16:$B$16</c:f>
              <c:strCache>
                <c:ptCount val="2"/>
                <c:pt idx="0">
                  <c:v>15</c:v>
                </c:pt>
                <c:pt idx="1">
                  <c:v>Nestor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Sheet1!$C$16:$G$16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111</c:v>
                </c:pt>
                <c:pt idx="2" formatCode="_(&quot;$&quot;* #,##0.00_);_(&quot;$&quot;* \(#,##0.00\);_(&quot;$&quot;* &quot;-&quot;??_);_(@_)">
                  <c:v>2109</c:v>
                </c:pt>
                <c:pt idx="3" formatCode="_(&quot;$&quot;* #,##0.00_);_(&quot;$&quot;* \(#,##0.00\);_(&quot;$&quot;* &quot;-&quot;??_);_(@_)">
                  <c:v>105.45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AD8-4DE2-A3CB-F606C10D9415}"/>
            </c:ext>
          </c:extLst>
        </c:ser>
        <c:ser>
          <c:idx val="15"/>
          <c:order val="15"/>
          <c:tx>
            <c:strRef>
              <c:f>Sheet1!$A$17:$B$17</c:f>
              <c:strCache>
                <c:ptCount val="2"/>
                <c:pt idx="0">
                  <c:v>16</c:v>
                </c:pt>
                <c:pt idx="1">
                  <c:v>Mari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Sheet1!$C$17:$G$17</c:f>
              <c:numCache>
                <c:formatCode>General</c:formatCode>
                <c:ptCount val="5"/>
                <c:pt idx="0" formatCode="&quot;$&quot;#,##0.00">
                  <c:v>17</c:v>
                </c:pt>
                <c:pt idx="1">
                  <c:v>132</c:v>
                </c:pt>
                <c:pt idx="2" formatCode="_(&quot;$&quot;* #,##0.00_);_(&quot;$&quot;* \(#,##0.00\);_(&quot;$&quot;* &quot;-&quot;??_);_(@_)">
                  <c:v>2244</c:v>
                </c:pt>
                <c:pt idx="3" formatCode="_(&quot;$&quot;* #,##0.00_);_(&quot;$&quot;* \(#,##0.00\);_(&quot;$&quot;* &quot;-&quot;??_);_(@_)">
                  <c:v>112.2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D8-4DE2-A3CB-F606C10D9415}"/>
            </c:ext>
          </c:extLst>
        </c:ser>
        <c:ser>
          <c:idx val="16"/>
          <c:order val="16"/>
          <c:tx>
            <c:strRef>
              <c:f>Sheet1!$A$18:$B$18</c:f>
              <c:strCache>
                <c:ptCount val="2"/>
                <c:pt idx="0">
                  <c:v>17</c:v>
                </c:pt>
                <c:pt idx="1">
                  <c:v>Jerod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Sheet1!$C$18:$G$18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100</c:v>
                </c:pt>
                <c:pt idx="2" formatCode="_(&quot;$&quot;* #,##0.00_);_(&quot;$&quot;* \(#,##0.00\);_(&quot;$&quot;* &quot;-&quot;??_);_(@_)">
                  <c:v>1900</c:v>
                </c:pt>
                <c:pt idx="3" formatCode="_(&quot;$&quot;* #,##0.00_);_(&quot;$&quot;* \(#,##0.00\);_(&quot;$&quot;* &quot;-&quot;??_);_(@_)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D8-4DE2-A3CB-F606C10D9415}"/>
            </c:ext>
          </c:extLst>
        </c:ser>
        <c:ser>
          <c:idx val="17"/>
          <c:order val="17"/>
          <c:tx>
            <c:strRef>
              <c:f>Sheet1!$A$19:$B$19</c:f>
              <c:strCache>
                <c:ptCount val="2"/>
                <c:pt idx="0">
                  <c:v>18</c:v>
                </c:pt>
                <c:pt idx="1">
                  <c:v>Graciela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Sheet1!$C$19:$G$19</c:f>
              <c:numCache>
                <c:formatCode>General</c:formatCode>
                <c:ptCount val="5"/>
                <c:pt idx="0" formatCode="&quot;$&quot;#,##0.00">
                  <c:v>16</c:v>
                </c:pt>
                <c:pt idx="1">
                  <c:v>187</c:v>
                </c:pt>
                <c:pt idx="2" formatCode="_(&quot;$&quot;* #,##0.00_);_(&quot;$&quot;* \(#,##0.00\);_(&quot;$&quot;* &quot;-&quot;??_);_(@_)">
                  <c:v>2992</c:v>
                </c:pt>
                <c:pt idx="3" formatCode="_(&quot;$&quot;* #,##0.00_);_(&quot;$&quot;* \(#,##0.00\);_(&quot;$&quot;* &quot;-&quot;??_);_(@_)">
                  <c:v>149.6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D8-4DE2-A3CB-F606C10D9415}"/>
            </c:ext>
          </c:extLst>
        </c:ser>
        <c:ser>
          <c:idx val="18"/>
          <c:order val="18"/>
          <c:tx>
            <c:strRef>
              <c:f>Sheet1!$A$20:$B$20</c:f>
              <c:strCache>
                <c:ptCount val="2"/>
                <c:pt idx="0">
                  <c:v>19</c:v>
                </c:pt>
                <c:pt idx="1">
                  <c:v>Kenan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Sheet1!$C$20:$G$20</c:f>
              <c:numCache>
                <c:formatCode>General</c:formatCode>
                <c:ptCount val="5"/>
                <c:pt idx="0" formatCode="&quot;$&quot;#,##0.00">
                  <c:v>18</c:v>
                </c:pt>
                <c:pt idx="1">
                  <c:v>70</c:v>
                </c:pt>
                <c:pt idx="2" formatCode="_(&quot;$&quot;* #,##0.00_);_(&quot;$&quot;* \(#,##0.00\);_(&quot;$&quot;* &quot;-&quot;??_);_(@_)">
                  <c:v>1260</c:v>
                </c:pt>
                <c:pt idx="3" formatCode="_(&quot;$&quot;* #,##0.00_);_(&quot;$&quot;* \(#,##0.00\);_(&quot;$&quot;* &quot;-&quot;??_);_(@_)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D8-4DE2-A3CB-F606C10D9415}"/>
            </c:ext>
          </c:extLst>
        </c:ser>
        <c:ser>
          <c:idx val="19"/>
          <c:order val="19"/>
          <c:tx>
            <c:strRef>
              <c:f>Sheet1!$A$21:$B$21</c:f>
              <c:strCache>
                <c:ptCount val="2"/>
                <c:pt idx="0">
                  <c:v>20</c:v>
                </c:pt>
                <c:pt idx="1">
                  <c:v>Andrea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Sheet1!$C$21:$G$21</c:f>
              <c:numCache>
                <c:formatCode>General</c:formatCode>
                <c:ptCount val="5"/>
                <c:pt idx="0" formatCode="&quot;$&quot;#,##0.00">
                  <c:v>16.5</c:v>
                </c:pt>
                <c:pt idx="1">
                  <c:v>138</c:v>
                </c:pt>
                <c:pt idx="2" formatCode="_(&quot;$&quot;* #,##0.00_);_(&quot;$&quot;* \(#,##0.00\);_(&quot;$&quot;* &quot;-&quot;??_);_(@_)">
                  <c:v>2277</c:v>
                </c:pt>
                <c:pt idx="3" formatCode="_(&quot;$&quot;* #,##0.00_);_(&quot;$&quot;* \(#,##0.00\);_(&quot;$&quot;* &quot;-&quot;??_);_(@_)">
                  <c:v>113.85000000000001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D8-4DE2-A3CB-F606C10D9415}"/>
            </c:ext>
          </c:extLst>
        </c:ser>
        <c:ser>
          <c:idx val="20"/>
          <c:order val="20"/>
          <c:tx>
            <c:strRef>
              <c:f>Sheet1!$A$22:$B$22</c:f>
              <c:strCache>
                <c:ptCount val="2"/>
                <c:pt idx="0">
                  <c:v>21</c:v>
                </c:pt>
                <c:pt idx="1">
                  <c:v>Kolton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Sheet1!$C$22:$G$22</c:f>
              <c:numCache>
                <c:formatCode>General</c:formatCode>
                <c:ptCount val="5"/>
                <c:pt idx="0" formatCode="&quot;$&quot;#,##0.00">
                  <c:v>13</c:v>
                </c:pt>
                <c:pt idx="1">
                  <c:v>72</c:v>
                </c:pt>
                <c:pt idx="2" formatCode="_(&quot;$&quot;* #,##0.00_);_(&quot;$&quot;* \(#,##0.00\);_(&quot;$&quot;* &quot;-&quot;??_);_(@_)">
                  <c:v>936</c:v>
                </c:pt>
                <c:pt idx="3" formatCode="_(&quot;$&quot;* #,##0.00_);_(&quot;$&quot;* \(#,##0.00\);_(&quot;$&quot;* &quot;-&quot;??_);_(@_)">
                  <c:v>46.800000000000004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AD8-4DE2-A3CB-F606C10D9415}"/>
            </c:ext>
          </c:extLst>
        </c:ser>
        <c:ser>
          <c:idx val="21"/>
          <c:order val="21"/>
          <c:tx>
            <c:strRef>
              <c:f>Sheet1!$A$23:$B$23</c:f>
              <c:strCache>
                <c:ptCount val="2"/>
                <c:pt idx="0">
                  <c:v>22</c:v>
                </c:pt>
                <c:pt idx="1">
                  <c:v>Dangelo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Sheet1!$C$23:$G$23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130</c:v>
                </c:pt>
                <c:pt idx="2" formatCode="_(&quot;$&quot;* #,##0.00_);_(&quot;$&quot;* \(#,##0.00\);_(&quot;$&quot;* &quot;-&quot;??_);_(@_)">
                  <c:v>1560</c:v>
                </c:pt>
                <c:pt idx="3" formatCode="_(&quot;$&quot;* #,##0.00_);_(&quot;$&quot;* \(#,##0.00\);_(&quot;$&quot;* &quot;-&quot;??_);_(@_)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AD8-4DE2-A3CB-F606C10D9415}"/>
            </c:ext>
          </c:extLst>
        </c:ser>
        <c:ser>
          <c:idx val="22"/>
          <c:order val="22"/>
          <c:tx>
            <c:strRef>
              <c:f>Sheet1!$A$24:$B$24</c:f>
              <c:strCache>
                <c:ptCount val="2"/>
                <c:pt idx="0">
                  <c:v>23</c:v>
                </c:pt>
                <c:pt idx="1">
                  <c:v>Louis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Sheet1!$C$24:$G$24</c:f>
              <c:numCache>
                <c:formatCode>General</c:formatCode>
                <c:ptCount val="5"/>
                <c:pt idx="0" formatCode="&quot;$&quot;#,##0.00">
                  <c:v>18</c:v>
                </c:pt>
                <c:pt idx="1">
                  <c:v>208</c:v>
                </c:pt>
                <c:pt idx="2" formatCode="_(&quot;$&quot;* #,##0.00_);_(&quot;$&quot;* \(#,##0.00\);_(&quot;$&quot;* &quot;-&quot;??_);_(@_)">
                  <c:v>3744</c:v>
                </c:pt>
                <c:pt idx="3" formatCode="_(&quot;$&quot;* #,##0.00_);_(&quot;$&quot;* \(#,##0.00\);_(&quot;$&quot;* &quot;-&quot;??_);_(@_)">
                  <c:v>187.20000000000002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AD8-4DE2-A3CB-F606C10D9415}"/>
            </c:ext>
          </c:extLst>
        </c:ser>
        <c:ser>
          <c:idx val="23"/>
          <c:order val="23"/>
          <c:tx>
            <c:strRef>
              <c:f>Sheet1!$A$25:$B$25</c:f>
              <c:strCache>
                <c:ptCount val="2"/>
                <c:pt idx="0">
                  <c:v>24</c:v>
                </c:pt>
                <c:pt idx="1">
                  <c:v>Kerry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Sheet1!$C$25:$G$25</c:f>
              <c:numCache>
                <c:formatCode>General</c:formatCode>
                <c:ptCount val="5"/>
                <c:pt idx="0" formatCode="&quot;$&quot;#,##0.00">
                  <c:v>22</c:v>
                </c:pt>
                <c:pt idx="1">
                  <c:v>97</c:v>
                </c:pt>
                <c:pt idx="2" formatCode="_(&quot;$&quot;* #,##0.00_);_(&quot;$&quot;* \(#,##0.00\);_(&quot;$&quot;* &quot;-&quot;??_);_(@_)">
                  <c:v>2134</c:v>
                </c:pt>
                <c:pt idx="3" formatCode="_(&quot;$&quot;* #,##0.00_);_(&quot;$&quot;* \(#,##0.00\);_(&quot;$&quot;* &quot;-&quot;??_);_(@_)">
                  <c:v>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AD8-4DE2-A3CB-F606C10D9415}"/>
            </c:ext>
          </c:extLst>
        </c:ser>
        <c:ser>
          <c:idx val="24"/>
          <c:order val="24"/>
          <c:tx>
            <c:strRef>
              <c:f>Sheet1!$A$26:$B$26</c:f>
              <c:strCache>
                <c:ptCount val="2"/>
                <c:pt idx="0">
                  <c:v>25</c:v>
                </c:pt>
                <c:pt idx="1">
                  <c:v>Anne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Sheet1!$C$26:$G$26</c:f>
              <c:numCache>
                <c:formatCode>General</c:formatCode>
                <c:ptCount val="5"/>
                <c:pt idx="0" formatCode="&quot;$&quot;#,##0.00">
                  <c:v>32</c:v>
                </c:pt>
                <c:pt idx="1">
                  <c:v>199</c:v>
                </c:pt>
                <c:pt idx="2" formatCode="_(&quot;$&quot;* #,##0.00_);_(&quot;$&quot;* \(#,##0.00\);_(&quot;$&quot;* &quot;-&quot;??_);_(@_)">
                  <c:v>6368</c:v>
                </c:pt>
                <c:pt idx="3" formatCode="_(&quot;$&quot;* #,##0.00_);_(&quot;$&quot;* \(#,##0.00\);_(&quot;$&quot;* &quot;-&quot;??_);_(@_)">
                  <c:v>318.40000000000003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AD8-4DE2-A3CB-F606C10D9415}"/>
            </c:ext>
          </c:extLst>
        </c:ser>
        <c:ser>
          <c:idx val="25"/>
          <c:order val="25"/>
          <c:tx>
            <c:strRef>
              <c:f>Sheet1!$A$27:$B$27</c:f>
              <c:strCache>
                <c:ptCount val="2"/>
                <c:pt idx="0">
                  <c:v>26</c:v>
                </c:pt>
                <c:pt idx="1">
                  <c:v>Dangelo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Sheet1!$C$27:$G$27</c:f>
              <c:numCache>
                <c:formatCode>General</c:formatCode>
                <c:ptCount val="5"/>
                <c:pt idx="0" formatCode="&quot;$&quot;#,##0.00">
                  <c:v>11</c:v>
                </c:pt>
                <c:pt idx="1">
                  <c:v>160</c:v>
                </c:pt>
                <c:pt idx="2" formatCode="_(&quot;$&quot;* #,##0.00_);_(&quot;$&quot;* \(#,##0.00\);_(&quot;$&quot;* &quot;-&quot;??_);_(@_)">
                  <c:v>1760</c:v>
                </c:pt>
                <c:pt idx="3" formatCode="_(&quot;$&quot;* #,##0.00_);_(&quot;$&quot;* \(#,##0.00\);_(&quot;$&quot;* &quot;-&quot;??_);_(@_)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AD8-4DE2-A3CB-F606C10D9415}"/>
            </c:ext>
          </c:extLst>
        </c:ser>
        <c:ser>
          <c:idx val="26"/>
          <c:order val="26"/>
          <c:tx>
            <c:strRef>
              <c:f>Sheet1!$A$28:$B$28</c:f>
              <c:strCache>
                <c:ptCount val="2"/>
                <c:pt idx="0">
                  <c:v>27</c:v>
                </c:pt>
                <c:pt idx="1">
                  <c:v>Keisha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Sheet1!$C$28:$G$28</c:f>
              <c:numCache>
                <c:formatCode>General</c:formatCode>
                <c:ptCount val="5"/>
                <c:pt idx="0" formatCode="&quot;$&quot;#,##0.00">
                  <c:v>14</c:v>
                </c:pt>
                <c:pt idx="1">
                  <c:v>156</c:v>
                </c:pt>
                <c:pt idx="2" formatCode="_(&quot;$&quot;* #,##0.00_);_(&quot;$&quot;* \(#,##0.00\);_(&quot;$&quot;* &quot;-&quot;??_);_(@_)">
                  <c:v>2184</c:v>
                </c:pt>
                <c:pt idx="3" formatCode="_(&quot;$&quot;* #,##0.00_);_(&quot;$&quot;* \(#,##0.00\);_(&quot;$&quot;* &quot;-&quot;??_);_(@_)">
                  <c:v>109.2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AD8-4DE2-A3CB-F606C10D9415}"/>
            </c:ext>
          </c:extLst>
        </c:ser>
        <c:ser>
          <c:idx val="27"/>
          <c:order val="27"/>
          <c:tx>
            <c:strRef>
              <c:f>Sheet1!$A$29:$B$29</c:f>
              <c:strCache>
                <c:ptCount val="2"/>
                <c:pt idx="0">
                  <c:v>28</c:v>
                </c:pt>
                <c:pt idx="1">
                  <c:v>Dymond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Sheet1!$C$29:$G$29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117</c:v>
                </c:pt>
                <c:pt idx="2" formatCode="_(&quot;$&quot;* #,##0.00_);_(&quot;$&quot;* \(#,##0.00\);_(&quot;$&quot;* &quot;-&quot;??_);_(@_)">
                  <c:v>1813.5</c:v>
                </c:pt>
                <c:pt idx="3" formatCode="_(&quot;$&quot;* #,##0.00_);_(&quot;$&quot;* \(#,##0.00\);_(&quot;$&quot;* &quot;-&quot;??_);_(@_)">
                  <c:v>90.675000000000011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AD8-4DE2-A3CB-F606C10D9415}"/>
            </c:ext>
          </c:extLst>
        </c:ser>
        <c:ser>
          <c:idx val="28"/>
          <c:order val="28"/>
          <c:tx>
            <c:strRef>
              <c:f>Sheet1!$A$30:$B$30</c:f>
              <c:strCache>
                <c:ptCount val="2"/>
                <c:pt idx="0">
                  <c:v>29</c:v>
                </c:pt>
                <c:pt idx="1">
                  <c:v>Ingrid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Sheet1!$C$30:$G$30</c:f>
              <c:numCache>
                <c:formatCode>General</c:formatCode>
                <c:ptCount val="5"/>
                <c:pt idx="0" formatCode="&quot;$&quot;#,##0.00">
                  <c:v>15</c:v>
                </c:pt>
                <c:pt idx="1">
                  <c:v>76</c:v>
                </c:pt>
                <c:pt idx="2" formatCode="_(&quot;$&quot;* #,##0.00_);_(&quot;$&quot;* \(#,##0.00\);_(&quot;$&quot;* &quot;-&quot;??_);_(@_)">
                  <c:v>1140</c:v>
                </c:pt>
                <c:pt idx="3" formatCode="_(&quot;$&quot;* #,##0.00_);_(&quot;$&quot;* \(#,##0.00\);_(&quot;$&quot;* &quot;-&quot;??_);_(@_)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AD8-4DE2-A3CB-F606C10D9415}"/>
            </c:ext>
          </c:extLst>
        </c:ser>
        <c:ser>
          <c:idx val="29"/>
          <c:order val="29"/>
          <c:tx>
            <c:strRef>
              <c:f>Sheet1!$A$31:$B$31</c:f>
              <c:strCache>
                <c:ptCount val="2"/>
                <c:pt idx="0">
                  <c:v>30</c:v>
                </c:pt>
                <c:pt idx="1">
                  <c:v>Jaime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Sheet1!$C$31:$G$31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175</c:v>
                </c:pt>
                <c:pt idx="2" formatCode="_(&quot;$&quot;* #,##0.00_);_(&quot;$&quot;* \(#,##0.00\);_(&quot;$&quot;* &quot;-&quot;??_);_(@_)">
                  <c:v>2100</c:v>
                </c:pt>
                <c:pt idx="3" formatCode="_(&quot;$&quot;* #,##0.00_);_(&quot;$&quot;* \(#,##0.00\);_(&quot;$&quot;* &quot;-&quot;??_);_(@_)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AD8-4DE2-A3CB-F606C10D9415}"/>
            </c:ext>
          </c:extLst>
        </c:ser>
        <c:ser>
          <c:idx val="30"/>
          <c:order val="30"/>
          <c:tx>
            <c:strRef>
              <c:f>Sheet1!$A$32:$B$32</c:f>
              <c:strCache>
                <c:ptCount val="2"/>
                <c:pt idx="0">
                  <c:v>31</c:v>
                </c:pt>
                <c:pt idx="1">
                  <c:v>Lilly</c:v>
                </c:pt>
              </c:strCache>
            </c:strRef>
          </c:tx>
          <c:spPr>
            <a:ln w="34925" cap="rnd">
              <a:solidFill>
                <a:schemeClr val="accent1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Sheet1!$C$32:$G$32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87</c:v>
                </c:pt>
                <c:pt idx="2" formatCode="_(&quot;$&quot;* #,##0.00_);_(&quot;$&quot;* \(#,##0.00\);_(&quot;$&quot;* &quot;-&quot;??_);_(@_)">
                  <c:v>1348.5</c:v>
                </c:pt>
                <c:pt idx="3" formatCode="_(&quot;$&quot;* #,##0.00_);_(&quot;$&quot;* \(#,##0.00\);_(&quot;$&quot;* &quot;-&quot;??_);_(@_)">
                  <c:v>67.424999999999997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AD8-4DE2-A3CB-F606C10D9415}"/>
            </c:ext>
          </c:extLst>
        </c:ser>
        <c:ser>
          <c:idx val="31"/>
          <c:order val="31"/>
          <c:tx>
            <c:strRef>
              <c:f>Sheet1!$A$33:$B$33</c:f>
              <c:strCache>
                <c:ptCount val="2"/>
                <c:pt idx="0">
                  <c:v>32</c:v>
                </c:pt>
                <c:pt idx="1">
                  <c:v>Rogelio</c:v>
                </c:pt>
              </c:strCache>
            </c:strRef>
          </c:tx>
          <c:spPr>
            <a:ln w="34925" cap="rnd">
              <a:solidFill>
                <a:schemeClr val="accent2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Sheet1!$C$33:$G$33</c:f>
              <c:numCache>
                <c:formatCode>General</c:formatCode>
                <c:ptCount val="5"/>
                <c:pt idx="0" formatCode="&quot;$&quot;#,##0.00">
                  <c:v>11.75</c:v>
                </c:pt>
                <c:pt idx="1">
                  <c:v>130</c:v>
                </c:pt>
                <c:pt idx="2" formatCode="_(&quot;$&quot;* #,##0.00_);_(&quot;$&quot;* \(#,##0.00\);_(&quot;$&quot;* &quot;-&quot;??_);_(@_)">
                  <c:v>1527.5</c:v>
                </c:pt>
                <c:pt idx="3" formatCode="_(&quot;$&quot;* #,##0.00_);_(&quot;$&quot;* \(#,##0.00\);_(&quot;$&quot;* &quot;-&quot;??_);_(@_)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AD8-4DE2-A3CB-F606C10D9415}"/>
            </c:ext>
          </c:extLst>
        </c:ser>
        <c:ser>
          <c:idx val="32"/>
          <c:order val="32"/>
          <c:tx>
            <c:strRef>
              <c:f>Sheet1!$A$34:$B$34</c:f>
              <c:strCache>
                <c:ptCount val="2"/>
                <c:pt idx="0">
                  <c:v>33</c:v>
                </c:pt>
                <c:pt idx="1">
                  <c:v>Joshua</c:v>
                </c:pt>
              </c:strCache>
            </c:strRef>
          </c:tx>
          <c:spPr>
            <a:ln w="34925" cap="rnd">
              <a:solidFill>
                <a:schemeClr val="accent3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Sheet1!$C$34:$G$34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185</c:v>
                </c:pt>
                <c:pt idx="2" formatCode="_(&quot;$&quot;* #,##0.00_);_(&quot;$&quot;* \(#,##0.00\);_(&quot;$&quot;* &quot;-&quot;??_);_(@_)">
                  <c:v>2220</c:v>
                </c:pt>
                <c:pt idx="3" formatCode="_(&quot;$&quot;* #,##0.00_);_(&quot;$&quot;* \(#,##0.00\);_(&quot;$&quot;* &quot;-&quot;??_);_(@_)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AD8-4DE2-A3CB-F606C10D9415}"/>
            </c:ext>
          </c:extLst>
        </c:ser>
        <c:ser>
          <c:idx val="33"/>
          <c:order val="33"/>
          <c:tx>
            <c:strRef>
              <c:f>Sheet1!$A$35:$B$35</c:f>
              <c:strCache>
                <c:ptCount val="2"/>
                <c:pt idx="0">
                  <c:v>34</c:v>
                </c:pt>
                <c:pt idx="1">
                  <c:v>Lindsay</c:v>
                </c:pt>
              </c:strCache>
            </c:strRef>
          </c:tx>
          <c:spPr>
            <a:ln w="34925" cap="rnd">
              <a:solidFill>
                <a:schemeClr val="accent4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Sheet1!$C$35:$G$35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152</c:v>
                </c:pt>
                <c:pt idx="2" formatCode="_(&quot;$&quot;* #,##0.00_);_(&quot;$&quot;* \(#,##0.00\);_(&quot;$&quot;* &quot;-&quot;??_);_(@_)">
                  <c:v>2888</c:v>
                </c:pt>
                <c:pt idx="3" formatCode="_(&quot;$&quot;* #,##0.00_);_(&quot;$&quot;* \(#,##0.00\);_(&quot;$&quot;* &quot;-&quot;??_);_(@_)">
                  <c:v>144.4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AD8-4DE2-A3CB-F606C10D9415}"/>
            </c:ext>
          </c:extLst>
        </c:ser>
        <c:ser>
          <c:idx val="34"/>
          <c:order val="34"/>
          <c:tx>
            <c:strRef>
              <c:f>Sheet1!$A$36:$B$36</c:f>
              <c:strCache>
                <c:ptCount val="2"/>
                <c:pt idx="0">
                  <c:v>35</c:v>
                </c:pt>
                <c:pt idx="1">
                  <c:v>Audra</c:v>
                </c:pt>
              </c:strCache>
            </c:strRef>
          </c:tx>
          <c:spPr>
            <a:ln w="34925" cap="rnd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Sheet1!$C$36:$G$36</c:f>
              <c:numCache>
                <c:formatCode>General</c:formatCode>
                <c:ptCount val="5"/>
                <c:pt idx="0" formatCode="&quot;$&quot;#,##0.00">
                  <c:v>17</c:v>
                </c:pt>
                <c:pt idx="1">
                  <c:v>186</c:v>
                </c:pt>
                <c:pt idx="2" formatCode="_(&quot;$&quot;* #,##0.00_);_(&quot;$&quot;* \(#,##0.00\);_(&quot;$&quot;* &quot;-&quot;??_);_(@_)">
                  <c:v>3162</c:v>
                </c:pt>
                <c:pt idx="3" formatCode="_(&quot;$&quot;* #,##0.00_);_(&quot;$&quot;* \(#,##0.00\);_(&quot;$&quot;* &quot;-&quot;??_);_(@_)">
                  <c:v>158.10000000000002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AD8-4DE2-A3CB-F606C10D9415}"/>
            </c:ext>
          </c:extLst>
        </c:ser>
        <c:ser>
          <c:idx val="35"/>
          <c:order val="35"/>
          <c:tx>
            <c:strRef>
              <c:f>Sheet1!$A$37:$B$37</c:f>
              <c:strCache>
                <c:ptCount val="2"/>
                <c:pt idx="0">
                  <c:v>36</c:v>
                </c:pt>
                <c:pt idx="1">
                  <c:v>Aubrie</c:v>
                </c:pt>
              </c:strCache>
            </c:strRef>
          </c:tx>
          <c:spPr>
            <a:ln w="34925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Sheet1!$C$37:$G$37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96</c:v>
                </c:pt>
                <c:pt idx="2" formatCode="_(&quot;$&quot;* #,##0.00_);_(&quot;$&quot;* \(#,##0.00\);_(&quot;$&quot;* &quot;-&quot;??_);_(@_)">
                  <c:v>1824</c:v>
                </c:pt>
                <c:pt idx="3" formatCode="_(&quot;$&quot;* #,##0.00_);_(&quot;$&quot;* \(#,##0.00\);_(&quot;$&quot;* &quot;-&quot;??_);_(@_)">
                  <c:v>91.2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AD8-4DE2-A3CB-F606C10D9415}"/>
            </c:ext>
          </c:extLst>
        </c:ser>
        <c:ser>
          <c:idx val="36"/>
          <c:order val="36"/>
          <c:tx>
            <c:strRef>
              <c:f>Sheet1!$A$38:$B$38</c:f>
              <c:strCache>
                <c:ptCount val="2"/>
                <c:pt idx="0">
                  <c:v>37</c:v>
                </c:pt>
                <c:pt idx="1">
                  <c:v>Pranav</c:v>
                </c:pt>
              </c:strCache>
            </c:strRef>
          </c:tx>
          <c:spPr>
            <a:ln w="349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Sheet1!$C$38:$G$38</c:f>
              <c:numCache>
                <c:formatCode>General</c:formatCode>
                <c:ptCount val="5"/>
                <c:pt idx="0" formatCode="&quot;$&quot;#,##0.00">
                  <c:v>16</c:v>
                </c:pt>
                <c:pt idx="1">
                  <c:v>100</c:v>
                </c:pt>
                <c:pt idx="2" formatCode="_(&quot;$&quot;* #,##0.00_);_(&quot;$&quot;* \(#,##0.00\);_(&quot;$&quot;* &quot;-&quot;??_);_(@_)">
                  <c:v>1600</c:v>
                </c:pt>
                <c:pt idx="3" formatCode="_(&quot;$&quot;* #,##0.00_);_(&quot;$&quot;* \(#,##0.00\);_(&quot;$&quot;* &quot;-&quot;??_);_(@_)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AD8-4DE2-A3CB-F606C10D9415}"/>
            </c:ext>
          </c:extLst>
        </c:ser>
        <c:ser>
          <c:idx val="37"/>
          <c:order val="37"/>
          <c:tx>
            <c:strRef>
              <c:f>Sheet1!$A$39:$B$39</c:f>
              <c:strCache>
                <c:ptCount val="2"/>
                <c:pt idx="0">
                  <c:v>38</c:v>
                </c:pt>
                <c:pt idx="1">
                  <c:v>Jordyn</c:v>
                </c:pt>
              </c:strCache>
            </c:strRef>
          </c:tx>
          <c:spPr>
            <a:ln w="349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Sheet1!$C$39:$G$39</c:f>
              <c:numCache>
                <c:formatCode>General</c:formatCode>
                <c:ptCount val="5"/>
                <c:pt idx="0" formatCode="&quot;$&quot;#,##0.00">
                  <c:v>18</c:v>
                </c:pt>
                <c:pt idx="1">
                  <c:v>124</c:v>
                </c:pt>
                <c:pt idx="2" formatCode="_(&quot;$&quot;* #,##0.00_);_(&quot;$&quot;* \(#,##0.00\);_(&quot;$&quot;* &quot;-&quot;??_);_(@_)">
                  <c:v>2232</c:v>
                </c:pt>
                <c:pt idx="3" formatCode="_(&quot;$&quot;* #,##0.00_);_(&quot;$&quot;* \(#,##0.00\);_(&quot;$&quot;* &quot;-&quot;??_);_(@_)">
                  <c:v>111.60000000000001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AD8-4DE2-A3CB-F606C10D9415}"/>
            </c:ext>
          </c:extLst>
        </c:ser>
        <c:ser>
          <c:idx val="38"/>
          <c:order val="38"/>
          <c:tx>
            <c:strRef>
              <c:f>Sheet1!$A$40:$B$40</c:f>
              <c:strCache>
                <c:ptCount val="2"/>
                <c:pt idx="0">
                  <c:v>39</c:v>
                </c:pt>
                <c:pt idx="1">
                  <c:v>Macie</c:v>
                </c:pt>
              </c:strCache>
            </c:strRef>
          </c:tx>
          <c:spPr>
            <a:ln w="349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Sheet1!$C$40:$G$40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71</c:v>
                </c:pt>
                <c:pt idx="2" formatCode="_(&quot;$&quot;* #,##0.00_);_(&quot;$&quot;* \(#,##0.00\);_(&quot;$&quot;* &quot;-&quot;??_);_(@_)">
                  <c:v>1100.5</c:v>
                </c:pt>
                <c:pt idx="3" formatCode="_(&quot;$&quot;* #,##0.00_);_(&quot;$&quot;* \(#,##0.00\);_(&quot;$&quot;* &quot;-&quot;??_);_(@_)">
                  <c:v>55.025000000000006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AD8-4DE2-A3CB-F606C10D9415}"/>
            </c:ext>
          </c:extLst>
        </c:ser>
        <c:ser>
          <c:idx val="39"/>
          <c:order val="39"/>
          <c:tx>
            <c:strRef>
              <c:f>Sheet1!$A$41:$B$41</c:f>
              <c:strCache>
                <c:ptCount val="2"/>
                <c:pt idx="0">
                  <c:v>40</c:v>
                </c:pt>
                <c:pt idx="1">
                  <c:v>Glen</c:v>
                </c:pt>
              </c:strCache>
            </c:strRef>
          </c:tx>
          <c:spPr>
            <a:ln w="349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Sheet1!$C$41:$G$41</c:f>
              <c:numCache>
                <c:formatCode>General</c:formatCode>
                <c:ptCount val="5"/>
                <c:pt idx="0" formatCode="&quot;$&quot;#,##0.00">
                  <c:v>14</c:v>
                </c:pt>
                <c:pt idx="1">
                  <c:v>83</c:v>
                </c:pt>
                <c:pt idx="2" formatCode="_(&quot;$&quot;* #,##0.00_);_(&quot;$&quot;* \(#,##0.00\);_(&quot;$&quot;* &quot;-&quot;??_);_(@_)">
                  <c:v>1162</c:v>
                </c:pt>
                <c:pt idx="3" formatCode="_(&quot;$&quot;* #,##0.00_);_(&quot;$&quot;* \(#,##0.00\);_(&quot;$&quot;* &quot;-&quot;??_);_(@_)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AD8-4DE2-A3CB-F606C10D9415}"/>
            </c:ext>
          </c:extLst>
        </c:ser>
        <c:ser>
          <c:idx val="40"/>
          <c:order val="40"/>
          <c:tx>
            <c:strRef>
              <c:f>Sheet1!$A$42:$B$42</c:f>
              <c:strCache>
                <c:ptCount val="2"/>
                <c:pt idx="0">
                  <c:v>41</c:v>
                </c:pt>
                <c:pt idx="1">
                  <c:v>Zayne</c:v>
                </c:pt>
              </c:strCache>
            </c:strRef>
          </c:tx>
          <c:spPr>
            <a:ln w="349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Sheet1!$C$42:$G$42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100</c:v>
                </c:pt>
                <c:pt idx="2" formatCode="_(&quot;$&quot;* #,##0.00_);_(&quot;$&quot;* \(#,##0.00\);_(&quot;$&quot;* &quot;-&quot;??_);_(@_)">
                  <c:v>1200</c:v>
                </c:pt>
                <c:pt idx="3" formatCode="_(&quot;$&quot;* #,##0.00_);_(&quot;$&quot;* \(#,##0.00\);_(&quot;$&quot;* &quot;-&quot;??_);_(@_)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AD8-4DE2-A3CB-F606C10D9415}"/>
            </c:ext>
          </c:extLst>
        </c:ser>
        <c:ser>
          <c:idx val="41"/>
          <c:order val="41"/>
          <c:tx>
            <c:strRef>
              <c:f>Sheet1!$A$43:$B$43</c:f>
              <c:strCache>
                <c:ptCount val="2"/>
                <c:pt idx="0">
                  <c:v>42</c:v>
                </c:pt>
                <c:pt idx="1">
                  <c:v>Samuel</c:v>
                </c:pt>
              </c:strCache>
            </c:strRef>
          </c:tx>
          <c:spPr>
            <a:ln w="349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Sheet1!$C$43:$G$43</c:f>
              <c:numCache>
                <c:formatCode>General</c:formatCode>
                <c:ptCount val="5"/>
                <c:pt idx="0" formatCode="&quot;$&quot;#,##0.00">
                  <c:v>11</c:v>
                </c:pt>
                <c:pt idx="1">
                  <c:v>165</c:v>
                </c:pt>
                <c:pt idx="2" formatCode="_(&quot;$&quot;* #,##0.00_);_(&quot;$&quot;* \(#,##0.00\);_(&quot;$&quot;* &quot;-&quot;??_);_(@_)">
                  <c:v>1815</c:v>
                </c:pt>
                <c:pt idx="3" formatCode="_(&quot;$&quot;* #,##0.00_);_(&quot;$&quot;* \(#,##0.00\);_(&quot;$&quot;* &quot;-&quot;??_);_(@_)">
                  <c:v>90.75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AD8-4DE2-A3CB-F606C10D9415}"/>
            </c:ext>
          </c:extLst>
        </c:ser>
        <c:ser>
          <c:idx val="42"/>
          <c:order val="42"/>
          <c:tx>
            <c:strRef>
              <c:f>Sheet1!$A$44:$B$44</c:f>
              <c:strCache>
                <c:ptCount val="2"/>
                <c:pt idx="0">
                  <c:v>43</c:v>
                </c:pt>
                <c:pt idx="1">
                  <c:v>Ester</c:v>
                </c:pt>
              </c:strCache>
            </c:strRef>
          </c:tx>
          <c:spPr>
            <a:ln w="34925" cap="rnd">
              <a:solidFill>
                <a:schemeClr val="accent1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Sheet1!$C$44:$G$44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145</c:v>
                </c:pt>
                <c:pt idx="2" formatCode="_(&quot;$&quot;* #,##0.00_);_(&quot;$&quot;* \(#,##0.00\);_(&quot;$&quot;* &quot;-&quot;??_);_(@_)">
                  <c:v>1740</c:v>
                </c:pt>
                <c:pt idx="3" formatCode="_(&quot;$&quot;* #,##0.00_);_(&quot;$&quot;* \(#,##0.00\);_(&quot;$&quot;* &quot;-&quot;??_);_(@_)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AD8-4DE2-A3CB-F606C10D9415}"/>
            </c:ext>
          </c:extLst>
        </c:ser>
        <c:ser>
          <c:idx val="43"/>
          <c:order val="43"/>
          <c:tx>
            <c:strRef>
              <c:f>Sheet1!$A$45:$B$45</c:f>
              <c:strCache>
                <c:ptCount val="2"/>
                <c:pt idx="0">
                  <c:v>44</c:v>
                </c:pt>
                <c:pt idx="1">
                  <c:v>Leandra</c:v>
                </c:pt>
              </c:strCache>
            </c:strRef>
          </c:tx>
          <c:spPr>
            <a:ln w="34925" cap="rnd">
              <a:solidFill>
                <a:schemeClr val="accent2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Sheet1!$C$45:$G$45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133</c:v>
                </c:pt>
                <c:pt idx="2" formatCode="_(&quot;$&quot;* #,##0.00_);_(&quot;$&quot;* \(#,##0.00\);_(&quot;$&quot;* &quot;-&quot;??_);_(@_)">
                  <c:v>2061.5</c:v>
                </c:pt>
                <c:pt idx="3" formatCode="_(&quot;$&quot;* #,##0.00_);_(&quot;$&quot;* \(#,##0.00\);_(&quot;$&quot;* &quot;-&quot;??_);_(@_)">
                  <c:v>103.075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AD8-4DE2-A3CB-F606C10D9415}"/>
            </c:ext>
          </c:extLst>
        </c:ser>
        <c:ser>
          <c:idx val="44"/>
          <c:order val="44"/>
          <c:tx>
            <c:strRef>
              <c:f>Sheet1!$A$46:$B$46</c:f>
              <c:strCache>
                <c:ptCount val="2"/>
                <c:pt idx="0">
                  <c:v>45</c:v>
                </c:pt>
                <c:pt idx="1">
                  <c:v>Emma</c:v>
                </c:pt>
              </c:strCache>
            </c:strRef>
          </c:tx>
          <c:spPr>
            <a:ln w="34925" cap="rnd">
              <a:solidFill>
                <a:schemeClr val="accent3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Sheet1!$C$46:$G$46</c:f>
              <c:numCache>
                <c:formatCode>General</c:formatCode>
                <c:ptCount val="5"/>
                <c:pt idx="0" formatCode="&quot;$&quot;#,##0.00">
                  <c:v>11.75</c:v>
                </c:pt>
                <c:pt idx="1">
                  <c:v>92</c:v>
                </c:pt>
                <c:pt idx="2" formatCode="_(&quot;$&quot;* #,##0.00_);_(&quot;$&quot;* \(#,##0.00\);_(&quot;$&quot;* &quot;-&quot;??_);_(@_)">
                  <c:v>1081</c:v>
                </c:pt>
                <c:pt idx="3" formatCode="_(&quot;$&quot;* #,##0.00_);_(&quot;$&quot;* \(#,##0.00\);_(&quot;$&quot;* &quot;-&quot;??_);_(@_)">
                  <c:v>54.050000000000004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AD8-4DE2-A3CB-F606C10D9415}"/>
            </c:ext>
          </c:extLst>
        </c:ser>
        <c:ser>
          <c:idx val="45"/>
          <c:order val="45"/>
          <c:tx>
            <c:strRef>
              <c:f>Sheet1!$A$47:$B$47</c:f>
              <c:strCache>
                <c:ptCount val="2"/>
                <c:pt idx="0">
                  <c:v>46</c:v>
                </c:pt>
                <c:pt idx="1">
                  <c:v>Efrain</c:v>
                </c:pt>
              </c:strCache>
            </c:strRef>
          </c:tx>
          <c:spPr>
            <a:ln w="34925" cap="rnd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Sheet1!$C$47:$G$47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74</c:v>
                </c:pt>
                <c:pt idx="2" formatCode="_(&quot;$&quot;* #,##0.00_);_(&quot;$&quot;* \(#,##0.00\);_(&quot;$&quot;* &quot;-&quot;??_);_(@_)">
                  <c:v>888</c:v>
                </c:pt>
                <c:pt idx="3" formatCode="_(&quot;$&quot;* #,##0.00_);_(&quot;$&quot;* \(#,##0.00\);_(&quot;$&quot;* &quot;-&quot;??_);_(@_)">
                  <c:v>44.400000000000006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AD8-4DE2-A3CB-F606C10D9415}"/>
            </c:ext>
          </c:extLst>
        </c:ser>
        <c:ser>
          <c:idx val="46"/>
          <c:order val="46"/>
          <c:tx>
            <c:strRef>
              <c:f>Sheet1!$A$48:$B$48</c:f>
              <c:strCache>
                <c:ptCount val="2"/>
                <c:pt idx="0">
                  <c:v>47</c:v>
                </c:pt>
                <c:pt idx="1">
                  <c:v>Phillip</c:v>
                </c:pt>
              </c:strCache>
            </c:strRef>
          </c:tx>
          <c:spPr>
            <a:ln w="34925" cap="rnd">
              <a:solidFill>
                <a:schemeClr val="accent5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Sheet1!$C$48:$G$48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201</c:v>
                </c:pt>
                <c:pt idx="2" formatCode="_(&quot;$&quot;* #,##0.00_);_(&quot;$&quot;* \(#,##0.00\);_(&quot;$&quot;* &quot;-&quot;??_);_(@_)">
                  <c:v>3819</c:v>
                </c:pt>
                <c:pt idx="3" formatCode="_(&quot;$&quot;* #,##0.00_);_(&quot;$&quot;* \(#,##0.00\);_(&quot;$&quot;* &quot;-&quot;??_);_(@_)">
                  <c:v>190.95000000000002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AD8-4DE2-A3CB-F606C10D9415}"/>
            </c:ext>
          </c:extLst>
        </c:ser>
        <c:ser>
          <c:idx val="47"/>
          <c:order val="47"/>
          <c:tx>
            <c:strRef>
              <c:f>Sheet1!$A$49:$B$49</c:f>
              <c:strCache>
                <c:ptCount val="2"/>
                <c:pt idx="0">
                  <c:v>48</c:v>
                </c:pt>
                <c:pt idx="1">
                  <c:v>Judah</c:v>
                </c:pt>
              </c:strCache>
            </c:strRef>
          </c:tx>
          <c:spPr>
            <a:ln w="34925" cap="rnd">
              <a:solidFill>
                <a:schemeClr val="accent6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Sheet1!$C$49:$G$49</c:f>
              <c:numCache>
                <c:formatCode>General</c:formatCode>
                <c:ptCount val="5"/>
                <c:pt idx="0" formatCode="&quot;$&quot;#,##0.00">
                  <c:v>17</c:v>
                </c:pt>
                <c:pt idx="1">
                  <c:v>112</c:v>
                </c:pt>
                <c:pt idx="2" formatCode="_(&quot;$&quot;* #,##0.00_);_(&quot;$&quot;* \(#,##0.00\);_(&quot;$&quot;* &quot;-&quot;??_);_(@_)">
                  <c:v>1904</c:v>
                </c:pt>
                <c:pt idx="3" formatCode="_(&quot;$&quot;* #,##0.00_);_(&quot;$&quot;* \(#,##0.00\);_(&quot;$&quot;* &quot;-&quot;??_);_(@_)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AD8-4DE2-A3CB-F606C10D9415}"/>
            </c:ext>
          </c:extLst>
        </c:ser>
        <c:ser>
          <c:idx val="48"/>
          <c:order val="48"/>
          <c:tx>
            <c:strRef>
              <c:f>Sheet1!$A$50:$B$50</c:f>
              <c:strCache>
                <c:ptCount val="2"/>
                <c:pt idx="0">
                  <c:v>49</c:v>
                </c:pt>
                <c:pt idx="1">
                  <c:v>Keaton</c:v>
                </c:pt>
              </c:strCache>
            </c:strRef>
          </c:tx>
          <c:spPr>
            <a:ln w="349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Sheet1!$C$50:$G$50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166</c:v>
                </c:pt>
                <c:pt idx="2" formatCode="_(&quot;$&quot;* #,##0.00_);_(&quot;$&quot;* \(#,##0.00\);_(&quot;$&quot;* &quot;-&quot;??_);_(@_)">
                  <c:v>3154</c:v>
                </c:pt>
                <c:pt idx="3" formatCode="_(&quot;$&quot;* #,##0.00_);_(&quot;$&quot;* \(#,##0.00\);_(&quot;$&quot;* &quot;-&quot;??_);_(@_)">
                  <c:v>157.70000000000002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AD8-4DE2-A3CB-F606C10D9415}"/>
            </c:ext>
          </c:extLst>
        </c:ser>
        <c:ser>
          <c:idx val="49"/>
          <c:order val="49"/>
          <c:tx>
            <c:strRef>
              <c:f>Sheet1!$A$51:$B$51</c:f>
              <c:strCache>
                <c:ptCount val="2"/>
                <c:pt idx="0">
                  <c:v>50</c:v>
                </c:pt>
                <c:pt idx="1">
                  <c:v>Kavon</c:v>
                </c:pt>
              </c:strCache>
            </c:strRef>
          </c:tx>
          <c:spPr>
            <a:ln w="349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Sheet1!$C$51:$G$51</c:f>
              <c:numCache>
                <c:formatCode>General</c:formatCode>
                <c:ptCount val="5"/>
                <c:pt idx="0" formatCode="&quot;$&quot;#,##0.00">
                  <c:v>16</c:v>
                </c:pt>
                <c:pt idx="1">
                  <c:v>160</c:v>
                </c:pt>
                <c:pt idx="2" formatCode="_(&quot;$&quot;* #,##0.00_);_(&quot;$&quot;* \(#,##0.00\);_(&quot;$&quot;* &quot;-&quot;??_);_(@_)">
                  <c:v>2560</c:v>
                </c:pt>
                <c:pt idx="3" formatCode="_(&quot;$&quot;* #,##0.00_);_(&quot;$&quot;* \(#,##0.00\);_(&quot;$&quot;* &quot;-&quot;??_);_(@_)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AD8-4DE2-A3CB-F606C10D9415}"/>
            </c:ext>
          </c:extLst>
        </c:ser>
        <c:ser>
          <c:idx val="50"/>
          <c:order val="50"/>
          <c:tx>
            <c:strRef>
              <c:f>Sheet1!$A$52:$B$52</c:f>
              <c:strCache>
                <c:ptCount val="2"/>
                <c:pt idx="0">
                  <c:v>51</c:v>
                </c:pt>
                <c:pt idx="1">
                  <c:v>Allan</c:v>
                </c:pt>
              </c:strCache>
            </c:strRef>
          </c:tx>
          <c:spPr>
            <a:ln w="349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Sheet1!$C$52:$G$52</c:f>
              <c:numCache>
                <c:formatCode>General</c:formatCode>
                <c:ptCount val="5"/>
                <c:pt idx="0" formatCode="&quot;$&quot;#,##0.00">
                  <c:v>18</c:v>
                </c:pt>
                <c:pt idx="1">
                  <c:v>117</c:v>
                </c:pt>
                <c:pt idx="2" formatCode="_(&quot;$&quot;* #,##0.00_);_(&quot;$&quot;* \(#,##0.00\);_(&quot;$&quot;* &quot;-&quot;??_);_(@_)">
                  <c:v>2106</c:v>
                </c:pt>
                <c:pt idx="3" formatCode="_(&quot;$&quot;* #,##0.00_);_(&quot;$&quot;* \(#,##0.00\);_(&quot;$&quot;* &quot;-&quot;??_);_(@_)">
                  <c:v>105.30000000000001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AD8-4DE2-A3CB-F606C10D9415}"/>
            </c:ext>
          </c:extLst>
        </c:ser>
        <c:ser>
          <c:idx val="51"/>
          <c:order val="51"/>
          <c:tx>
            <c:strRef>
              <c:f>Sheet1!$A$53:$B$53</c:f>
              <c:strCache>
                <c:ptCount val="2"/>
                <c:pt idx="0">
                  <c:v>52</c:v>
                </c:pt>
                <c:pt idx="1">
                  <c:v>Jacinda</c:v>
                </c:pt>
              </c:strCache>
            </c:strRef>
          </c:tx>
          <c:spPr>
            <a:ln w="349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Sheet1!$C$53:$G$53</c:f>
              <c:numCache>
                <c:formatCode>General</c:formatCode>
                <c:ptCount val="5"/>
                <c:pt idx="0" formatCode="&quot;$&quot;#,##0.00">
                  <c:v>11.5</c:v>
                </c:pt>
                <c:pt idx="1">
                  <c:v>152</c:v>
                </c:pt>
                <c:pt idx="2" formatCode="_(&quot;$&quot;* #,##0.00_);_(&quot;$&quot;* \(#,##0.00\);_(&quot;$&quot;* &quot;-&quot;??_);_(@_)">
                  <c:v>1748</c:v>
                </c:pt>
                <c:pt idx="3" formatCode="_(&quot;$&quot;* #,##0.00_);_(&quot;$&quot;* \(#,##0.00\);_(&quot;$&quot;* &quot;-&quot;??_);_(@_)">
                  <c:v>87.4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AD8-4DE2-A3CB-F606C10D9415}"/>
            </c:ext>
          </c:extLst>
        </c:ser>
        <c:ser>
          <c:idx val="52"/>
          <c:order val="52"/>
          <c:tx>
            <c:strRef>
              <c:f>Sheet1!$A$54:$B$54</c:f>
              <c:strCache>
                <c:ptCount val="2"/>
                <c:pt idx="0">
                  <c:v>53</c:v>
                </c:pt>
                <c:pt idx="1">
                  <c:v>Caden</c:v>
                </c:pt>
              </c:strCache>
            </c:strRef>
          </c:tx>
          <c:spPr>
            <a:ln w="3492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Sheet1!$C$54:$G$54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129</c:v>
                </c:pt>
                <c:pt idx="2" formatCode="_(&quot;$&quot;* #,##0.00_);_(&quot;$&quot;* \(#,##0.00\);_(&quot;$&quot;* &quot;-&quot;??_);_(@_)">
                  <c:v>1999.5</c:v>
                </c:pt>
                <c:pt idx="3" formatCode="_(&quot;$&quot;* #,##0.00_);_(&quot;$&quot;* \(#,##0.00\);_(&quot;$&quot;* &quot;-&quot;??_);_(@_)">
                  <c:v>99.975000000000009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AD8-4DE2-A3CB-F606C10D9415}"/>
            </c:ext>
          </c:extLst>
        </c:ser>
        <c:ser>
          <c:idx val="53"/>
          <c:order val="53"/>
          <c:tx>
            <c:strRef>
              <c:f>Sheet1!$A$55:$B$55</c:f>
              <c:strCache>
                <c:ptCount val="2"/>
                <c:pt idx="0">
                  <c:v>54</c:v>
                </c:pt>
                <c:pt idx="1">
                  <c:v>Tanya</c:v>
                </c:pt>
              </c:strCache>
            </c:strRef>
          </c:tx>
          <c:spPr>
            <a:ln w="3492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Sheet1!$C$55:$G$55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74</c:v>
                </c:pt>
                <c:pt idx="2" formatCode="_(&quot;$&quot;* #,##0.00_);_(&quot;$&quot;* \(#,##0.00\);_(&quot;$&quot;* &quot;-&quot;??_);_(@_)">
                  <c:v>1147</c:v>
                </c:pt>
                <c:pt idx="3" formatCode="_(&quot;$&quot;* #,##0.00_);_(&quot;$&quot;* \(#,##0.00\);_(&quot;$&quot;* &quot;-&quot;??_);_(@_)">
                  <c:v>57.35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AD8-4DE2-A3CB-F606C10D9415}"/>
            </c:ext>
          </c:extLst>
        </c:ser>
        <c:ser>
          <c:idx val="54"/>
          <c:order val="54"/>
          <c:tx>
            <c:strRef>
              <c:f>Sheet1!$A$56:$B$56</c:f>
              <c:strCache>
                <c:ptCount val="2"/>
                <c:pt idx="0">
                  <c:v>55</c:v>
                </c:pt>
                <c:pt idx="1">
                  <c:v>Rosalinda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Sheet1!$C$56:$G$56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111</c:v>
                </c:pt>
                <c:pt idx="2" formatCode="_(&quot;$&quot;* #,##0.00_);_(&quot;$&quot;* \(#,##0.00\);_(&quot;$&quot;* &quot;-&quot;??_);_(@_)">
                  <c:v>1332</c:v>
                </c:pt>
                <c:pt idx="3" formatCode="_(&quot;$&quot;* #,##0.00_);_(&quot;$&quot;* \(#,##0.00\);_(&quot;$&quot;* &quot;-&quot;??_);_(@_)">
                  <c:v>66.600000000000009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AD8-4DE2-A3CB-F606C10D9415}"/>
            </c:ext>
          </c:extLst>
        </c:ser>
        <c:ser>
          <c:idx val="55"/>
          <c:order val="55"/>
          <c:tx>
            <c:strRef>
              <c:f>Sheet1!$A$57:$B$57</c:f>
              <c:strCache>
                <c:ptCount val="2"/>
                <c:pt idx="0">
                  <c:v>56</c:v>
                </c:pt>
                <c:pt idx="1">
                  <c:v>Raekwon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Sheet1!$C$57:$G$57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132</c:v>
                </c:pt>
                <c:pt idx="2" formatCode="_(&quot;$&quot;* #,##0.00_);_(&quot;$&quot;* \(#,##0.00\);_(&quot;$&quot;* &quot;-&quot;??_);_(@_)">
                  <c:v>2046</c:v>
                </c:pt>
                <c:pt idx="3" formatCode="_(&quot;$&quot;* #,##0.00_);_(&quot;$&quot;* \(#,##0.00\);_(&quot;$&quot;* &quot;-&quot;??_);_(@_)">
                  <c:v>102.30000000000001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AD8-4DE2-A3CB-F606C10D9415}"/>
            </c:ext>
          </c:extLst>
        </c:ser>
        <c:ser>
          <c:idx val="56"/>
          <c:order val="56"/>
          <c:tx>
            <c:strRef>
              <c:f>Sheet1!$A$58:$B$58</c:f>
              <c:strCache>
                <c:ptCount val="2"/>
                <c:pt idx="0">
                  <c:v>57</c:v>
                </c:pt>
                <c:pt idx="1">
                  <c:v>Jude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Sheet1!$C$58:$G$58</c:f>
              <c:numCache>
                <c:formatCode>General</c:formatCode>
                <c:ptCount val="5"/>
                <c:pt idx="0" formatCode="&quot;$&quot;#,##0.00">
                  <c:v>11.75</c:v>
                </c:pt>
                <c:pt idx="1">
                  <c:v>100</c:v>
                </c:pt>
                <c:pt idx="2" formatCode="_(&quot;$&quot;* #,##0.00_);_(&quot;$&quot;* \(#,##0.00\);_(&quot;$&quot;* &quot;-&quot;??_);_(@_)">
                  <c:v>1175</c:v>
                </c:pt>
                <c:pt idx="3" formatCode="_(&quot;$&quot;* #,##0.00_);_(&quot;$&quot;* \(#,##0.00\);_(&quot;$&quot;* &quot;-&quot;??_);_(@_)">
                  <c:v>58.75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AD8-4DE2-A3CB-F606C10D9415}"/>
            </c:ext>
          </c:extLst>
        </c:ser>
        <c:ser>
          <c:idx val="57"/>
          <c:order val="57"/>
          <c:tx>
            <c:strRef>
              <c:f>Sheet1!$A$59:$B$59</c:f>
              <c:strCache>
                <c:ptCount val="2"/>
                <c:pt idx="0">
                  <c:v>58</c:v>
                </c:pt>
                <c:pt idx="1">
                  <c:v>Dante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Sheet1!$C$59:$G$59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187</c:v>
                </c:pt>
                <c:pt idx="2" formatCode="_(&quot;$&quot;* #,##0.00_);_(&quot;$&quot;* \(#,##0.00\);_(&quot;$&quot;* &quot;-&quot;??_);_(@_)">
                  <c:v>2244</c:v>
                </c:pt>
                <c:pt idx="3" formatCode="_(&quot;$&quot;* #,##0.00_);_(&quot;$&quot;* \(#,##0.00\);_(&quot;$&quot;* &quot;-&quot;??_);_(@_)">
                  <c:v>112.2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AD8-4DE2-A3CB-F606C10D9415}"/>
            </c:ext>
          </c:extLst>
        </c:ser>
        <c:ser>
          <c:idx val="58"/>
          <c:order val="58"/>
          <c:tx>
            <c:strRef>
              <c:f>Sheet1!$A$60:$B$60</c:f>
              <c:strCache>
                <c:ptCount val="2"/>
                <c:pt idx="0">
                  <c:v>59</c:v>
                </c:pt>
                <c:pt idx="1">
                  <c:v>Jayden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Sheet1!$C$60:$G$60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70</c:v>
                </c:pt>
                <c:pt idx="2" formatCode="_(&quot;$&quot;* #,##0.00_);_(&quot;$&quot;* \(#,##0.00\);_(&quot;$&quot;* &quot;-&quot;??_);_(@_)">
                  <c:v>1330</c:v>
                </c:pt>
                <c:pt idx="3" formatCode="_(&quot;$&quot;* #,##0.00_);_(&quot;$&quot;* \(#,##0.00\);_(&quot;$&quot;* &quot;-&quot;??_);_(@_)">
                  <c:v>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AD8-4DE2-A3CB-F606C10D9415}"/>
            </c:ext>
          </c:extLst>
        </c:ser>
        <c:ser>
          <c:idx val="59"/>
          <c:order val="59"/>
          <c:tx>
            <c:strRef>
              <c:f>Sheet1!$A$61:$B$61</c:f>
              <c:strCache>
                <c:ptCount val="2"/>
                <c:pt idx="0">
                  <c:v>60</c:v>
                </c:pt>
                <c:pt idx="1">
                  <c:v>Tianna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Sheet1!$C$61:$G$61</c:f>
              <c:numCache>
                <c:formatCode>General</c:formatCode>
                <c:ptCount val="5"/>
                <c:pt idx="0" formatCode="&quot;$&quot;#,##0.00">
                  <c:v>17</c:v>
                </c:pt>
                <c:pt idx="1">
                  <c:v>138</c:v>
                </c:pt>
                <c:pt idx="2" formatCode="_(&quot;$&quot;* #,##0.00_);_(&quot;$&quot;* \(#,##0.00\);_(&quot;$&quot;* &quot;-&quot;??_);_(@_)">
                  <c:v>2346</c:v>
                </c:pt>
                <c:pt idx="3" formatCode="_(&quot;$&quot;* #,##0.00_);_(&quot;$&quot;* \(#,##0.00\);_(&quot;$&quot;* &quot;-&quot;??_);_(@_)">
                  <c:v>117.30000000000001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AD8-4DE2-A3CB-F606C10D9415}"/>
            </c:ext>
          </c:extLst>
        </c:ser>
        <c:ser>
          <c:idx val="60"/>
          <c:order val="60"/>
          <c:tx>
            <c:strRef>
              <c:f>Sheet1!$A$62:$B$62</c:f>
              <c:strCache>
                <c:ptCount val="2"/>
                <c:pt idx="0">
                  <c:v>61</c:v>
                </c:pt>
                <c:pt idx="1">
                  <c:v>Dean Ling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Sheet1!$C$62:$G$62</c:f>
              <c:numCache>
                <c:formatCode>General</c:formatCode>
                <c:ptCount val="5"/>
                <c:pt idx="0" formatCode="&quot;$&quot;#,##0.00">
                  <c:v>19</c:v>
                </c:pt>
                <c:pt idx="1">
                  <c:v>72</c:v>
                </c:pt>
                <c:pt idx="2" formatCode="_(&quot;$&quot;* #,##0.00_);_(&quot;$&quot;* \(#,##0.00\);_(&quot;$&quot;* &quot;-&quot;??_);_(@_)">
                  <c:v>1368</c:v>
                </c:pt>
                <c:pt idx="3" formatCode="_(&quot;$&quot;* #,##0.00_);_(&quot;$&quot;* \(#,##0.00\);_(&quot;$&quot;* &quot;-&quot;??_);_(@_)">
                  <c:v>68.400000000000006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AD8-4DE2-A3CB-F606C10D9415}"/>
            </c:ext>
          </c:extLst>
        </c:ser>
        <c:ser>
          <c:idx val="61"/>
          <c:order val="61"/>
          <c:tx>
            <c:strRef>
              <c:f>Sheet1!$A$63:$B$63</c:f>
              <c:strCache>
                <c:ptCount val="2"/>
                <c:pt idx="0">
                  <c:v>62</c:v>
                </c:pt>
                <c:pt idx="1">
                  <c:v>Danae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Sheet1!$C$63:$G$63</c:f>
              <c:numCache>
                <c:formatCode>General</c:formatCode>
                <c:ptCount val="5"/>
                <c:pt idx="0" formatCode="&quot;$&quot;#,##0.00">
                  <c:v>16</c:v>
                </c:pt>
                <c:pt idx="1">
                  <c:v>130</c:v>
                </c:pt>
                <c:pt idx="2" formatCode="_(&quot;$&quot;* #,##0.00_);_(&quot;$&quot;* \(#,##0.00\);_(&quot;$&quot;* &quot;-&quot;??_);_(@_)">
                  <c:v>2080</c:v>
                </c:pt>
                <c:pt idx="3" formatCode="_(&quot;$&quot;* #,##0.00_);_(&quot;$&quot;* \(#,##0.00\);_(&quot;$&quot;* &quot;-&quot;??_);_(@_)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AD8-4DE2-A3CB-F606C10D9415}"/>
            </c:ext>
          </c:extLst>
        </c:ser>
        <c:ser>
          <c:idx val="62"/>
          <c:order val="62"/>
          <c:tx>
            <c:strRef>
              <c:f>Sheet1!$A$64:$B$64</c:f>
              <c:strCache>
                <c:ptCount val="2"/>
                <c:pt idx="0">
                  <c:v>63</c:v>
                </c:pt>
                <c:pt idx="1">
                  <c:v>Alvaro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Sheet1!$C$64:$G$64</c:f>
              <c:numCache>
                <c:formatCode>General</c:formatCode>
                <c:ptCount val="5"/>
                <c:pt idx="0" formatCode="&quot;$&quot;#,##0.00">
                  <c:v>18</c:v>
                </c:pt>
                <c:pt idx="1">
                  <c:v>208</c:v>
                </c:pt>
                <c:pt idx="2" formatCode="_(&quot;$&quot;* #,##0.00_);_(&quot;$&quot;* \(#,##0.00\);_(&quot;$&quot;* &quot;-&quot;??_);_(@_)">
                  <c:v>3744</c:v>
                </c:pt>
                <c:pt idx="3" formatCode="_(&quot;$&quot;* #,##0.00_);_(&quot;$&quot;* \(#,##0.00\);_(&quot;$&quot;* &quot;-&quot;??_);_(@_)">
                  <c:v>187.20000000000002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AD8-4DE2-A3CB-F606C10D9415}"/>
            </c:ext>
          </c:extLst>
        </c:ser>
        <c:ser>
          <c:idx val="63"/>
          <c:order val="63"/>
          <c:tx>
            <c:strRef>
              <c:f>Sheet1!$A$65:$B$65</c:f>
              <c:strCache>
                <c:ptCount val="2"/>
                <c:pt idx="0">
                  <c:v>64</c:v>
                </c:pt>
                <c:pt idx="1">
                  <c:v>Jayce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Sheet1!$C$65:$G$65</c:f>
              <c:numCache>
                <c:formatCode>General</c:formatCode>
                <c:ptCount val="5"/>
                <c:pt idx="0" formatCode="&quot;$&quot;#,##0.00">
                  <c:v>11</c:v>
                </c:pt>
                <c:pt idx="1">
                  <c:v>97</c:v>
                </c:pt>
                <c:pt idx="2" formatCode="_(&quot;$&quot;* #,##0.00_);_(&quot;$&quot;* \(#,##0.00\);_(&quot;$&quot;* &quot;-&quot;??_);_(@_)">
                  <c:v>1067</c:v>
                </c:pt>
                <c:pt idx="3" formatCode="_(&quot;$&quot;* #,##0.00_);_(&quot;$&quot;* \(#,##0.00\);_(&quot;$&quot;* &quot;-&quot;??_);_(@_)">
                  <c:v>53.35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AD8-4DE2-A3CB-F606C10D9415}"/>
            </c:ext>
          </c:extLst>
        </c:ser>
        <c:ser>
          <c:idx val="64"/>
          <c:order val="64"/>
          <c:tx>
            <c:strRef>
              <c:f>Sheet1!$A$66:$B$66</c:f>
              <c:strCache>
                <c:ptCount val="2"/>
                <c:pt idx="0">
                  <c:v>65</c:v>
                </c:pt>
                <c:pt idx="1">
                  <c:v>Tanner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Sheet1!$C$66:$G$66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199</c:v>
                </c:pt>
                <c:pt idx="2" formatCode="_(&quot;$&quot;* #,##0.00_);_(&quot;$&quot;* \(#,##0.00\);_(&quot;$&quot;* &quot;-&quot;??_);_(@_)">
                  <c:v>3084.5</c:v>
                </c:pt>
                <c:pt idx="3" formatCode="_(&quot;$&quot;* #,##0.00_);_(&quot;$&quot;* \(#,##0.00\);_(&quot;$&quot;* &quot;-&quot;??_);_(@_)">
                  <c:v>154.22500000000002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AD8-4DE2-A3CB-F606C10D9415}"/>
            </c:ext>
          </c:extLst>
        </c:ser>
        <c:ser>
          <c:idx val="65"/>
          <c:order val="65"/>
          <c:tx>
            <c:strRef>
              <c:f>Sheet1!$A$67:$B$67</c:f>
              <c:strCache>
                <c:ptCount val="2"/>
                <c:pt idx="0">
                  <c:v>66</c:v>
                </c:pt>
                <c:pt idx="1">
                  <c:v>Derek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Sheet1!$C$67:$G$67</c:f>
              <c:numCache>
                <c:formatCode>General</c:formatCode>
                <c:ptCount val="5"/>
                <c:pt idx="0" formatCode="&quot;$&quot;#,##0.00">
                  <c:v>11</c:v>
                </c:pt>
                <c:pt idx="1">
                  <c:v>160</c:v>
                </c:pt>
                <c:pt idx="2" formatCode="_(&quot;$&quot;* #,##0.00_);_(&quot;$&quot;* \(#,##0.00\);_(&quot;$&quot;* &quot;-&quot;??_);_(@_)">
                  <c:v>1760</c:v>
                </c:pt>
                <c:pt idx="3" formatCode="_(&quot;$&quot;* #,##0.00_);_(&quot;$&quot;* \(#,##0.00\);_(&quot;$&quot;* &quot;-&quot;??_);_(@_)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AD8-4DE2-A3CB-F606C10D9415}"/>
            </c:ext>
          </c:extLst>
        </c:ser>
        <c:ser>
          <c:idx val="66"/>
          <c:order val="66"/>
          <c:tx>
            <c:strRef>
              <c:f>Sheet1!$A$68:$B$68</c:f>
              <c:strCache>
                <c:ptCount val="2"/>
                <c:pt idx="0">
                  <c:v>67</c:v>
                </c:pt>
                <c:pt idx="1">
                  <c:v>Ellie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Sheet1!$C$68:$G$68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156</c:v>
                </c:pt>
                <c:pt idx="2" formatCode="_(&quot;$&quot;* #,##0.00_);_(&quot;$&quot;* \(#,##0.00\);_(&quot;$&quot;* &quot;-&quot;??_);_(@_)">
                  <c:v>1872</c:v>
                </c:pt>
                <c:pt idx="3" formatCode="_(&quot;$&quot;* #,##0.00_);_(&quot;$&quot;* \(#,##0.00\);_(&quot;$&quot;* &quot;-&quot;??_);_(@_)">
                  <c:v>93.600000000000009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AD8-4DE2-A3CB-F606C10D9415}"/>
            </c:ext>
          </c:extLst>
        </c:ser>
        <c:ser>
          <c:idx val="67"/>
          <c:order val="67"/>
          <c:tx>
            <c:strRef>
              <c:f>Sheet1!$A$69:$B$69</c:f>
              <c:strCache>
                <c:ptCount val="2"/>
                <c:pt idx="0">
                  <c:v>68</c:v>
                </c:pt>
                <c:pt idx="1">
                  <c:v>Alek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Sheet1!$C$69:$G$69</c:f>
              <c:numCache>
                <c:formatCode>General</c:formatCode>
                <c:ptCount val="5"/>
                <c:pt idx="0" formatCode="&quot;$&quot;#,##0.00">
                  <c:v>15.5</c:v>
                </c:pt>
                <c:pt idx="1">
                  <c:v>117</c:v>
                </c:pt>
                <c:pt idx="2" formatCode="_(&quot;$&quot;* #,##0.00_);_(&quot;$&quot;* \(#,##0.00\);_(&quot;$&quot;* &quot;-&quot;??_);_(@_)">
                  <c:v>1813.5</c:v>
                </c:pt>
                <c:pt idx="3" formatCode="_(&quot;$&quot;* #,##0.00_);_(&quot;$&quot;* \(#,##0.00\);_(&quot;$&quot;* &quot;-&quot;??_);_(@_)">
                  <c:v>90.675000000000011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AD8-4DE2-A3CB-F606C10D9415}"/>
            </c:ext>
          </c:extLst>
        </c:ser>
        <c:ser>
          <c:idx val="68"/>
          <c:order val="68"/>
          <c:tx>
            <c:strRef>
              <c:f>Sheet1!$A$70:$B$70</c:f>
              <c:strCache>
                <c:ptCount val="2"/>
                <c:pt idx="0">
                  <c:v>69</c:v>
                </c:pt>
                <c:pt idx="1">
                  <c:v>Riya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Sheet1!$C$70:$G$70</c:f>
              <c:numCache>
                <c:formatCode>General</c:formatCode>
                <c:ptCount val="5"/>
                <c:pt idx="0" formatCode="&quot;$&quot;#,##0.00">
                  <c:v>11</c:v>
                </c:pt>
                <c:pt idx="1">
                  <c:v>76</c:v>
                </c:pt>
                <c:pt idx="2" formatCode="_(&quot;$&quot;* #,##0.00_);_(&quot;$&quot;* \(#,##0.00\);_(&quot;$&quot;* &quot;-&quot;??_);_(@_)">
                  <c:v>836</c:v>
                </c:pt>
                <c:pt idx="3" formatCode="_(&quot;$&quot;* #,##0.00_);_(&quot;$&quot;* \(#,##0.00\);_(&quot;$&quot;* &quot;-&quot;??_);_(@_)">
                  <c:v>41.800000000000004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AD8-4DE2-A3CB-F606C10D9415}"/>
            </c:ext>
          </c:extLst>
        </c:ser>
        <c:ser>
          <c:idx val="69"/>
          <c:order val="69"/>
          <c:tx>
            <c:strRef>
              <c:f>Sheet1!$A$71:$B$71</c:f>
              <c:strCache>
                <c:ptCount val="2"/>
                <c:pt idx="0">
                  <c:v>70</c:v>
                </c:pt>
                <c:pt idx="1">
                  <c:v>Cortney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Sheet1!$C$71:$G$71</c:f>
              <c:numCache>
                <c:formatCode>General</c:formatCode>
                <c:ptCount val="5"/>
                <c:pt idx="0" formatCode="&quot;$&quot;#,##0.00">
                  <c:v>12</c:v>
                </c:pt>
                <c:pt idx="1">
                  <c:v>175</c:v>
                </c:pt>
                <c:pt idx="2" formatCode="_(&quot;$&quot;* #,##0.00_);_(&quot;$&quot;* \(#,##0.00\);_(&quot;$&quot;* &quot;-&quot;??_);_(@_)">
                  <c:v>2100</c:v>
                </c:pt>
                <c:pt idx="3" formatCode="_(&quot;$&quot;* #,##0.00_);_(&quot;$&quot;* \(#,##0.00\);_(&quot;$&quot;* &quot;-&quot;??_);_(@_)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AD8-4DE2-A3CB-F606C10D9415}"/>
            </c:ext>
          </c:extLst>
        </c:ser>
        <c:ser>
          <c:idx val="70"/>
          <c:order val="70"/>
          <c:tx>
            <c:strRef>
              <c:f>Sheet1!$A$72:$B$72</c:f>
              <c:strCache>
                <c:ptCount val="2"/>
                <c:pt idx="0">
                  <c:v>70</c:v>
                </c:pt>
                <c:pt idx="1">
                  <c:v>Totals: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Sheet1!$C$72:$G$72</c:f>
              <c:numCache>
                <c:formatCode>General</c:formatCode>
                <c:ptCount val="5"/>
                <c:pt idx="0" formatCode="&quot;$&quot;#,##0.00">
                  <c:v>1060.5</c:v>
                </c:pt>
                <c:pt idx="1">
                  <c:v>9163</c:v>
                </c:pt>
                <c:pt idx="2" formatCode="_(&quot;$&quot;* #,##0.00_);_(&quot;$&quot;* \(#,##0.00\);_(&quot;$&quot;* &quot;-&quot;??_);_(@_)">
                  <c:v>139887.5</c:v>
                </c:pt>
                <c:pt idx="3" formatCode="_(&quot;$&quot;* #,##0.00_);_(&quot;$&quot;* \(#,##0.00\);_(&quot;$&quot;* &quot;-&quot;??_);_(@_)">
                  <c:v>6994.3750000000009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AD8-4DE2-A3CB-F606C10D9415}"/>
            </c:ext>
          </c:extLst>
        </c:ser>
        <c:ser>
          <c:idx val="71"/>
          <c:order val="71"/>
          <c:tx>
            <c:strRef>
              <c:f>Sheet1!$A$73:$B$73</c:f>
              <c:strCache>
                <c:ptCount val="2"/>
                <c:pt idx="0">
                  <c:v>70</c:v>
                </c:pt>
                <c:pt idx="1">
                  <c:v>Average: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Sheet1!$C$73:$G$73</c:f>
              <c:numCache>
                <c:formatCode>General</c:formatCode>
                <c:ptCount val="5"/>
                <c:pt idx="0" formatCode="&quot;$&quot;#,##0.00">
                  <c:v>15.15</c:v>
                </c:pt>
                <c:pt idx="1">
                  <c:v>130.9</c:v>
                </c:pt>
                <c:pt idx="2" formatCode="_(&quot;$&quot;* #,##0.00_);_(&quot;$&quot;* \(#,##0.00\);_(&quot;$&quot;* &quot;-&quot;??_);_(@_)">
                  <c:v>1998.3928571428571</c:v>
                </c:pt>
                <c:pt idx="3" formatCode="_(&quot;$&quot;* #,##0.00_);_(&quot;$&quot;* \(#,##0.00\);_(&quot;$&quot;* &quot;-&quot;??_);_(@_)">
                  <c:v>99.919642857142875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AD8-4DE2-A3CB-F606C10D9415}"/>
            </c:ext>
          </c:extLst>
        </c:ser>
        <c:ser>
          <c:idx val="72"/>
          <c:order val="72"/>
          <c:tx>
            <c:strRef>
              <c:f>Sheet1!$A$74:$B$74</c:f>
              <c:strCache>
                <c:ptCount val="2"/>
                <c:pt idx="0">
                  <c:v>70</c:v>
                </c:pt>
                <c:pt idx="1">
                  <c:v>No. of employees: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Sheet1!$C$1:$G$1</c:f>
              <c:strCache>
                <c:ptCount val="5"/>
                <c:pt idx="0">
                  <c:v>Hourly Wage</c:v>
                </c:pt>
                <c:pt idx="1">
                  <c:v>Hours Worked</c:v>
                </c:pt>
                <c:pt idx="2">
                  <c:v> Taxable Income </c:v>
                </c:pt>
                <c:pt idx="3">
                  <c:v> Taxes to Be Paid </c:v>
                </c:pt>
                <c:pt idx="4">
                  <c:v>Tax Rate</c:v>
                </c:pt>
              </c:strCache>
            </c:strRef>
          </c:cat>
          <c:val>
            <c:numRef>
              <c:f>Sheet1!$C$74:$G$74</c:f>
              <c:numCache>
                <c:formatCode>General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AD8-4DE2-A3CB-F606C10D9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911592"/>
        <c:axId val="528911952"/>
      </c:lineChart>
      <c:catAx>
        <c:axId val="52891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11952"/>
        <c:auto val="1"/>
        <c:lblAlgn val="ctr"/>
        <c:lblOffset val="100"/>
        <c:noMultiLvlLbl val="0"/>
      </c:catAx>
      <c:valAx>
        <c:axId val="5289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1159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59</xdr:row>
      <xdr:rowOff>61912</xdr:rowOff>
    </xdr:from>
    <xdr:to>
      <xdr:col>15</xdr:col>
      <xdr:colOff>390525</xdr:colOff>
      <xdr:row>73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C2EBE-96BA-C131-6474-21FD532E5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1A522C-952B-4FB2-ADFB-C0218763E4AE}" name="Table2" displayName="Table2" ref="A1:G74">
  <autoFilter ref="A1:G74" xr:uid="{5C1A522C-952B-4FB2-ADFB-C0218763E4AE}"/>
  <tableColumns count="7">
    <tableColumn id="1" xr3:uid="{A961A66B-7D7B-4627-BBD1-02BD23562022}" name="Employee ID" totalsRowLabel="Total"/>
    <tableColumn id="2" xr3:uid="{2931C0C1-8E0F-476F-A13C-127F99C32392}" name="Name" dataDxfId="9" totalsRowDxfId="0"/>
    <tableColumn id="3" xr3:uid="{69DC8AB9-BAFC-4CB2-BE9B-D57FADA605AB}" name="Hourly Wage"/>
    <tableColumn id="4" xr3:uid="{503E0B4B-88B9-4B93-8566-9F5D23EC5AC5}" name="Hours Worked" dataDxfId="8" totalsRowDxfId="1"/>
    <tableColumn id="5" xr3:uid="{42BC7C14-2538-41A0-B79F-4F8174C2FC76}" name="Taxable Income" dataDxfId="7" totalsRowDxfId="2"/>
    <tableColumn id="6" xr3:uid="{1466F2C5-4C1E-437B-B666-4B68559C29F7}" name="Taxes to Be Paid" dataDxfId="6" totalsRowDxfId="3"/>
    <tableColumn id="7" xr3:uid="{637E7C46-4A17-4176-8AFB-6BE84DB12271}" name="Tax Rate" totalsRowFunction="sum" dataDxfId="5" totalsRow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9726-A813-435D-BCE8-BF0CAF4211B0}">
  <dimension ref="A1:J76"/>
  <sheetViews>
    <sheetView tabSelected="1" topLeftCell="A59" workbookViewId="0">
      <selection activeCell="E69" sqref="E69"/>
    </sheetView>
  </sheetViews>
  <sheetFormatPr defaultRowHeight="15" x14ac:dyDescent="0.25"/>
  <cols>
    <col min="1" max="1" width="14.28515625" customWidth="1"/>
    <col min="3" max="3" width="14.5703125" customWidth="1"/>
    <col min="4" max="4" width="15.85546875" customWidth="1"/>
    <col min="5" max="5" width="18.42578125" customWidth="1"/>
    <col min="6" max="6" width="18.85546875" customWidth="1"/>
    <col min="7" max="7" width="10.5703125" customWidth="1"/>
  </cols>
  <sheetData>
    <row r="1" spans="1:9" x14ac:dyDescent="0.25">
      <c r="A1" s="21" t="s">
        <v>0</v>
      </c>
      <c r="B1" s="2" t="s">
        <v>1</v>
      </c>
      <c r="C1" s="23" t="s">
        <v>2</v>
      </c>
      <c r="D1" s="1" t="s">
        <v>3</v>
      </c>
      <c r="E1" s="20" t="s">
        <v>4</v>
      </c>
      <c r="F1" s="4" t="s">
        <v>5</v>
      </c>
      <c r="G1" s="21" t="s">
        <v>77</v>
      </c>
      <c r="H1" s="1"/>
      <c r="I1" s="1"/>
    </row>
    <row r="2" spans="1:9" x14ac:dyDescent="0.25">
      <c r="A2" s="22">
        <v>1</v>
      </c>
      <c r="B2" s="6" t="s">
        <v>6</v>
      </c>
      <c r="C2" s="7">
        <v>14.25</v>
      </c>
      <c r="D2" s="5">
        <v>158</v>
      </c>
      <c r="E2" s="8">
        <f t="shared" ref="E2:E33" si="0">C2*D2</f>
        <v>2251.5</v>
      </c>
      <c r="F2" s="8">
        <f t="shared" ref="F2:F33" si="1">E2*$G$2</f>
        <v>112.575</v>
      </c>
      <c r="G2" s="9">
        <v>0.05</v>
      </c>
      <c r="H2" s="9"/>
      <c r="I2" s="9"/>
    </row>
    <row r="3" spans="1:9" x14ac:dyDescent="0.25">
      <c r="A3" s="5">
        <v>2</v>
      </c>
      <c r="B3" s="6" t="s">
        <v>7</v>
      </c>
      <c r="C3" s="7">
        <v>15.5</v>
      </c>
      <c r="D3" s="5">
        <v>160</v>
      </c>
      <c r="E3" s="8">
        <f t="shared" si="0"/>
        <v>2480</v>
      </c>
      <c r="F3" s="8">
        <f t="shared" si="1"/>
        <v>124</v>
      </c>
      <c r="G3" s="9"/>
      <c r="H3" s="9"/>
      <c r="I3" s="9"/>
    </row>
    <row r="4" spans="1:9" x14ac:dyDescent="0.25">
      <c r="A4" s="5">
        <v>3</v>
      </c>
      <c r="B4" s="6" t="s">
        <v>8</v>
      </c>
      <c r="C4" s="3">
        <v>16</v>
      </c>
      <c r="D4" s="5">
        <v>125</v>
      </c>
      <c r="E4" s="8">
        <f t="shared" si="0"/>
        <v>2000</v>
      </c>
      <c r="F4" s="8">
        <f t="shared" si="1"/>
        <v>100</v>
      </c>
      <c r="G4" s="9"/>
      <c r="H4" s="9"/>
      <c r="I4" s="9"/>
    </row>
    <row r="5" spans="1:9" x14ac:dyDescent="0.25">
      <c r="A5" s="5">
        <v>4</v>
      </c>
      <c r="B5" s="6" t="s">
        <v>9</v>
      </c>
      <c r="C5" s="7">
        <v>13.75</v>
      </c>
      <c r="D5" s="5">
        <v>165</v>
      </c>
      <c r="E5" s="4">
        <f t="shared" si="0"/>
        <v>2268.75</v>
      </c>
      <c r="F5" s="8">
        <f t="shared" si="1"/>
        <v>113.4375</v>
      </c>
      <c r="G5" s="9"/>
      <c r="H5" s="9"/>
      <c r="I5" s="9"/>
    </row>
    <row r="6" spans="1:9" x14ac:dyDescent="0.25">
      <c r="A6" s="5">
        <v>5</v>
      </c>
      <c r="B6" s="6" t="s">
        <v>10</v>
      </c>
      <c r="C6" s="7">
        <v>15.5</v>
      </c>
      <c r="D6" s="5">
        <v>144</v>
      </c>
      <c r="E6" s="8">
        <f t="shared" si="0"/>
        <v>2232</v>
      </c>
      <c r="F6" s="8">
        <f t="shared" si="1"/>
        <v>111.60000000000001</v>
      </c>
      <c r="G6" s="9"/>
      <c r="H6" s="9"/>
      <c r="I6" s="9"/>
    </row>
    <row r="7" spans="1:9" x14ac:dyDescent="0.25">
      <c r="A7" s="5">
        <v>6</v>
      </c>
      <c r="B7" s="6" t="s">
        <v>11</v>
      </c>
      <c r="C7" s="7">
        <v>17</v>
      </c>
      <c r="D7" s="5">
        <v>174</v>
      </c>
      <c r="E7" s="8">
        <f t="shared" si="0"/>
        <v>2958</v>
      </c>
      <c r="F7" s="8">
        <f t="shared" si="1"/>
        <v>147.9</v>
      </c>
      <c r="G7" s="9"/>
      <c r="H7" s="9"/>
      <c r="I7" s="9"/>
    </row>
    <row r="8" spans="1:9" x14ac:dyDescent="0.25">
      <c r="A8" s="5">
        <v>7</v>
      </c>
      <c r="B8" s="6" t="s">
        <v>12</v>
      </c>
      <c r="C8" s="3">
        <v>13.75</v>
      </c>
      <c r="D8" s="5">
        <v>161</v>
      </c>
      <c r="E8" s="8">
        <f t="shared" si="0"/>
        <v>2213.75</v>
      </c>
      <c r="F8" s="8">
        <f t="shared" si="1"/>
        <v>110.6875</v>
      </c>
      <c r="G8" s="9"/>
      <c r="H8" s="9"/>
      <c r="I8" s="9"/>
    </row>
    <row r="9" spans="1:9" x14ac:dyDescent="0.25">
      <c r="A9" s="5">
        <v>8</v>
      </c>
      <c r="B9" s="6" t="s">
        <v>13</v>
      </c>
      <c r="C9" s="7">
        <v>15.5</v>
      </c>
      <c r="D9" s="5">
        <v>69</v>
      </c>
      <c r="E9" s="8">
        <f t="shared" si="0"/>
        <v>1069.5</v>
      </c>
      <c r="F9" s="8">
        <f t="shared" si="1"/>
        <v>53.475000000000001</v>
      </c>
      <c r="G9" s="9"/>
      <c r="H9" s="9"/>
      <c r="I9" s="9"/>
    </row>
    <row r="10" spans="1:9" x14ac:dyDescent="0.25">
      <c r="A10" s="5">
        <v>9</v>
      </c>
      <c r="B10" s="6" t="s">
        <v>14</v>
      </c>
      <c r="C10" s="7">
        <v>10.75</v>
      </c>
      <c r="D10" s="5">
        <v>85</v>
      </c>
      <c r="E10" s="4">
        <f t="shared" si="0"/>
        <v>913.75</v>
      </c>
      <c r="F10" s="8">
        <f t="shared" si="1"/>
        <v>45.6875</v>
      </c>
      <c r="G10" s="9"/>
      <c r="H10" s="9"/>
      <c r="I10" s="9"/>
    </row>
    <row r="11" spans="1:9" x14ac:dyDescent="0.25">
      <c r="A11" s="5">
        <v>10</v>
      </c>
      <c r="B11" s="6" t="s">
        <v>15</v>
      </c>
      <c r="C11" s="7">
        <v>15.5</v>
      </c>
      <c r="D11" s="5">
        <v>117</v>
      </c>
      <c r="E11" s="8">
        <f t="shared" si="0"/>
        <v>1813.5</v>
      </c>
      <c r="F11" s="8">
        <f t="shared" si="1"/>
        <v>90.675000000000011</v>
      </c>
      <c r="G11" s="13"/>
      <c r="H11" s="9"/>
      <c r="I11" s="9"/>
    </row>
    <row r="12" spans="1:9" x14ac:dyDescent="0.25">
      <c r="A12" s="5">
        <v>11</v>
      </c>
      <c r="B12" s="6" t="s">
        <v>16</v>
      </c>
      <c r="C12" s="7">
        <v>12</v>
      </c>
      <c r="D12" s="5">
        <v>160</v>
      </c>
      <c r="E12" s="8">
        <f t="shared" si="0"/>
        <v>1920</v>
      </c>
      <c r="F12" s="8">
        <f t="shared" si="1"/>
        <v>96</v>
      </c>
      <c r="G12" s="9"/>
      <c r="H12" s="9"/>
      <c r="I12" s="9"/>
    </row>
    <row r="13" spans="1:9" x14ac:dyDescent="0.25">
      <c r="A13" s="5">
        <v>12</v>
      </c>
      <c r="B13" s="6" t="s">
        <v>17</v>
      </c>
      <c r="C13" s="7">
        <v>15.5</v>
      </c>
      <c r="D13" s="5">
        <v>152</v>
      </c>
      <c r="E13" s="8">
        <f t="shared" si="0"/>
        <v>2356</v>
      </c>
      <c r="F13" s="8">
        <f t="shared" si="1"/>
        <v>117.80000000000001</v>
      </c>
      <c r="G13" s="9"/>
      <c r="H13" s="9"/>
      <c r="I13" s="9"/>
    </row>
    <row r="14" spans="1:9" x14ac:dyDescent="0.25">
      <c r="A14" s="5">
        <v>13</v>
      </c>
      <c r="B14" s="6" t="s">
        <v>18</v>
      </c>
      <c r="C14" s="14">
        <v>11.75</v>
      </c>
      <c r="D14" s="5">
        <v>129</v>
      </c>
      <c r="E14" s="8">
        <f t="shared" si="0"/>
        <v>1515.75</v>
      </c>
      <c r="F14" s="8">
        <f t="shared" si="1"/>
        <v>75.787500000000009</v>
      </c>
      <c r="G14" s="9"/>
      <c r="H14" s="9"/>
      <c r="I14" s="9"/>
    </row>
    <row r="15" spans="1:9" x14ac:dyDescent="0.25">
      <c r="A15" s="5">
        <v>14</v>
      </c>
      <c r="B15" s="6" t="s">
        <v>19</v>
      </c>
      <c r="C15" s="7">
        <v>12</v>
      </c>
      <c r="D15" s="5">
        <v>74</v>
      </c>
      <c r="E15" s="8">
        <f t="shared" si="0"/>
        <v>888</v>
      </c>
      <c r="F15" s="8">
        <f t="shared" si="1"/>
        <v>44.400000000000006</v>
      </c>
      <c r="G15" s="9"/>
      <c r="H15" s="9"/>
      <c r="I15" s="9"/>
    </row>
    <row r="16" spans="1:9" x14ac:dyDescent="0.25">
      <c r="A16" s="5">
        <v>15</v>
      </c>
      <c r="B16" s="6" t="s">
        <v>20</v>
      </c>
      <c r="C16" s="7">
        <v>19</v>
      </c>
      <c r="D16" s="5">
        <v>111</v>
      </c>
      <c r="E16" s="8">
        <f t="shared" si="0"/>
        <v>2109</v>
      </c>
      <c r="F16" s="8">
        <f t="shared" si="1"/>
        <v>105.45</v>
      </c>
      <c r="G16" s="9"/>
      <c r="H16" s="9"/>
      <c r="I16" s="9"/>
    </row>
    <row r="17" spans="1:10" x14ac:dyDescent="0.25">
      <c r="A17" s="5">
        <v>16</v>
      </c>
      <c r="B17" s="6" t="s">
        <v>21</v>
      </c>
      <c r="C17" s="7">
        <v>17</v>
      </c>
      <c r="D17" s="5">
        <v>132</v>
      </c>
      <c r="E17" s="8">
        <f t="shared" si="0"/>
        <v>2244</v>
      </c>
      <c r="F17" s="8">
        <f t="shared" si="1"/>
        <v>112.2</v>
      </c>
      <c r="G17" s="9"/>
      <c r="H17" s="9"/>
      <c r="I17" s="9"/>
    </row>
    <row r="18" spans="1:10" x14ac:dyDescent="0.25">
      <c r="A18" s="5">
        <v>17</v>
      </c>
      <c r="B18" s="6" t="s">
        <v>22</v>
      </c>
      <c r="C18" s="7">
        <v>19</v>
      </c>
      <c r="D18" s="5">
        <v>100</v>
      </c>
      <c r="E18" s="8">
        <f t="shared" si="0"/>
        <v>1900</v>
      </c>
      <c r="F18" s="8">
        <f t="shared" si="1"/>
        <v>95</v>
      </c>
      <c r="G18" s="9"/>
      <c r="H18" s="9"/>
      <c r="I18" s="9"/>
    </row>
    <row r="19" spans="1:10" x14ac:dyDescent="0.25">
      <c r="A19" s="5">
        <v>18</v>
      </c>
      <c r="B19" s="6" t="s">
        <v>23</v>
      </c>
      <c r="C19" s="14">
        <v>16</v>
      </c>
      <c r="D19" s="5">
        <v>187</v>
      </c>
      <c r="E19" s="12">
        <f t="shared" si="0"/>
        <v>2992</v>
      </c>
      <c r="F19" s="8">
        <f t="shared" si="1"/>
        <v>149.6</v>
      </c>
      <c r="G19" s="9"/>
      <c r="H19" s="9"/>
      <c r="I19" s="9"/>
    </row>
    <row r="20" spans="1:10" x14ac:dyDescent="0.25">
      <c r="A20" s="5">
        <v>19</v>
      </c>
      <c r="B20" s="6" t="s">
        <v>24</v>
      </c>
      <c r="C20" s="14">
        <v>18</v>
      </c>
      <c r="D20" s="5">
        <v>70</v>
      </c>
      <c r="E20" s="8">
        <f t="shared" si="0"/>
        <v>1260</v>
      </c>
      <c r="F20" s="8">
        <f t="shared" si="1"/>
        <v>63</v>
      </c>
      <c r="G20" s="9"/>
      <c r="H20" s="9"/>
      <c r="I20" s="9"/>
    </row>
    <row r="21" spans="1:10" x14ac:dyDescent="0.25">
      <c r="A21" s="5">
        <v>20</v>
      </c>
      <c r="B21" s="6" t="s">
        <v>25</v>
      </c>
      <c r="C21" s="14">
        <v>16.5</v>
      </c>
      <c r="D21" s="5">
        <v>138</v>
      </c>
      <c r="E21" s="8">
        <f t="shared" si="0"/>
        <v>2277</v>
      </c>
      <c r="F21" s="8">
        <f t="shared" si="1"/>
        <v>113.85000000000001</v>
      </c>
      <c r="G21" s="9"/>
      <c r="H21" s="9"/>
      <c r="I21" s="9"/>
    </row>
    <row r="22" spans="1:10" x14ac:dyDescent="0.25">
      <c r="A22" s="5">
        <v>21</v>
      </c>
      <c r="B22" s="6" t="s">
        <v>26</v>
      </c>
      <c r="C22" s="14">
        <v>13</v>
      </c>
      <c r="D22" s="5">
        <v>72</v>
      </c>
      <c r="E22" s="8">
        <f t="shared" si="0"/>
        <v>936</v>
      </c>
      <c r="F22" s="8">
        <f t="shared" si="1"/>
        <v>46.800000000000004</v>
      </c>
      <c r="G22" s="9"/>
      <c r="H22" s="9"/>
      <c r="I22" s="9"/>
    </row>
    <row r="23" spans="1:10" x14ac:dyDescent="0.25">
      <c r="A23" s="5">
        <v>22</v>
      </c>
      <c r="B23" s="6" t="s">
        <v>27</v>
      </c>
      <c r="C23" s="14">
        <v>12</v>
      </c>
      <c r="D23" s="5">
        <v>130</v>
      </c>
      <c r="E23" s="8">
        <f t="shared" si="0"/>
        <v>1560</v>
      </c>
      <c r="F23" s="8">
        <f t="shared" si="1"/>
        <v>78</v>
      </c>
      <c r="G23" s="9"/>
      <c r="H23" s="9"/>
      <c r="I23" s="9"/>
    </row>
    <row r="24" spans="1:10" x14ac:dyDescent="0.25">
      <c r="A24" s="5">
        <v>23</v>
      </c>
      <c r="B24" s="6" t="s">
        <v>28</v>
      </c>
      <c r="C24" s="14">
        <v>18</v>
      </c>
      <c r="D24" s="5">
        <v>208</v>
      </c>
      <c r="E24" s="8">
        <f t="shared" si="0"/>
        <v>3744</v>
      </c>
      <c r="F24" s="8">
        <f t="shared" si="1"/>
        <v>187.20000000000002</v>
      </c>
      <c r="G24" s="9"/>
      <c r="H24" s="9"/>
      <c r="I24" s="9"/>
      <c r="J24" s="11"/>
    </row>
    <row r="25" spans="1:10" x14ac:dyDescent="0.25">
      <c r="A25" s="5">
        <v>24</v>
      </c>
      <c r="B25" s="6" t="s">
        <v>29</v>
      </c>
      <c r="C25" s="14">
        <v>22</v>
      </c>
      <c r="D25" s="5">
        <v>97</v>
      </c>
      <c r="E25" s="8">
        <f t="shared" si="0"/>
        <v>2134</v>
      </c>
      <c r="F25" s="8">
        <f t="shared" si="1"/>
        <v>106.7</v>
      </c>
      <c r="G25" s="9"/>
      <c r="H25" s="9"/>
      <c r="I25" s="9"/>
    </row>
    <row r="26" spans="1:10" x14ac:dyDescent="0.25">
      <c r="A26" s="5">
        <v>25</v>
      </c>
      <c r="B26" s="6" t="s">
        <v>30</v>
      </c>
      <c r="C26" s="14">
        <v>32</v>
      </c>
      <c r="D26" s="5">
        <v>199</v>
      </c>
      <c r="E26" s="12">
        <f t="shared" si="0"/>
        <v>6368</v>
      </c>
      <c r="F26" s="12">
        <f t="shared" si="1"/>
        <v>318.40000000000003</v>
      </c>
      <c r="G26" s="9"/>
      <c r="H26" s="9"/>
      <c r="I26" s="9"/>
    </row>
    <row r="27" spans="1:10" x14ac:dyDescent="0.25">
      <c r="A27" s="5">
        <v>26</v>
      </c>
      <c r="B27" s="6" t="s">
        <v>27</v>
      </c>
      <c r="C27" s="14">
        <v>11</v>
      </c>
      <c r="D27" s="5">
        <v>160</v>
      </c>
      <c r="E27" s="8">
        <f t="shared" si="0"/>
        <v>1760</v>
      </c>
      <c r="F27" s="8">
        <f t="shared" si="1"/>
        <v>88</v>
      </c>
      <c r="G27" s="9"/>
      <c r="H27" s="9"/>
      <c r="I27" s="9"/>
    </row>
    <row r="28" spans="1:10" x14ac:dyDescent="0.25">
      <c r="A28" s="5">
        <v>27</v>
      </c>
      <c r="B28" s="6" t="s">
        <v>31</v>
      </c>
      <c r="C28" s="7">
        <v>14</v>
      </c>
      <c r="D28" s="5">
        <v>156</v>
      </c>
      <c r="E28" s="8">
        <f t="shared" si="0"/>
        <v>2184</v>
      </c>
      <c r="F28" s="8">
        <f t="shared" si="1"/>
        <v>109.2</v>
      </c>
      <c r="G28" s="9"/>
      <c r="H28" s="9"/>
      <c r="I28" s="9"/>
    </row>
    <row r="29" spans="1:10" x14ac:dyDescent="0.25">
      <c r="A29" s="5">
        <v>28</v>
      </c>
      <c r="B29" s="6" t="s">
        <v>32</v>
      </c>
      <c r="C29" s="7">
        <v>15.5</v>
      </c>
      <c r="D29" s="5">
        <v>117</v>
      </c>
      <c r="E29" s="8">
        <f t="shared" si="0"/>
        <v>1813.5</v>
      </c>
      <c r="F29" s="8">
        <f t="shared" si="1"/>
        <v>90.675000000000011</v>
      </c>
      <c r="G29" s="9"/>
      <c r="H29" s="9"/>
      <c r="I29" s="9"/>
    </row>
    <row r="30" spans="1:10" x14ac:dyDescent="0.25">
      <c r="A30" s="5">
        <v>29</v>
      </c>
      <c r="B30" s="6" t="s">
        <v>33</v>
      </c>
      <c r="C30" s="7">
        <v>15</v>
      </c>
      <c r="D30" s="5">
        <v>76</v>
      </c>
      <c r="E30" s="8">
        <f t="shared" si="0"/>
        <v>1140</v>
      </c>
      <c r="F30" s="8">
        <f t="shared" si="1"/>
        <v>57</v>
      </c>
      <c r="G30" s="9"/>
      <c r="H30" s="9"/>
      <c r="I30" s="9"/>
    </row>
    <row r="31" spans="1:10" x14ac:dyDescent="0.25">
      <c r="A31" s="5">
        <v>30</v>
      </c>
      <c r="B31" s="6" t="s">
        <v>34</v>
      </c>
      <c r="C31" s="7">
        <v>12</v>
      </c>
      <c r="D31" s="5">
        <v>175</v>
      </c>
      <c r="E31" s="8">
        <f t="shared" si="0"/>
        <v>2100</v>
      </c>
      <c r="F31" s="8">
        <f t="shared" si="1"/>
        <v>105</v>
      </c>
      <c r="G31" s="9"/>
      <c r="H31" s="9"/>
      <c r="I31" s="9"/>
    </row>
    <row r="32" spans="1:10" x14ac:dyDescent="0.25">
      <c r="A32" s="5">
        <v>31</v>
      </c>
      <c r="B32" s="6" t="s">
        <v>35</v>
      </c>
      <c r="C32" s="7">
        <v>15.5</v>
      </c>
      <c r="D32" s="5">
        <v>87</v>
      </c>
      <c r="E32" s="8">
        <f t="shared" si="0"/>
        <v>1348.5</v>
      </c>
      <c r="F32" s="8">
        <f t="shared" si="1"/>
        <v>67.424999999999997</v>
      </c>
      <c r="G32" s="9"/>
      <c r="H32" s="9"/>
      <c r="I32" s="9"/>
    </row>
    <row r="33" spans="1:9" x14ac:dyDescent="0.25">
      <c r="A33" s="5">
        <v>32</v>
      </c>
      <c r="B33" s="6" t="s">
        <v>36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76.375</v>
      </c>
      <c r="G33" s="9"/>
      <c r="H33" s="9"/>
      <c r="I33" s="9"/>
    </row>
    <row r="34" spans="1:9" x14ac:dyDescent="0.25">
      <c r="A34" s="5">
        <v>33</v>
      </c>
      <c r="B34" s="6" t="s">
        <v>37</v>
      </c>
      <c r="C34" s="7">
        <v>12</v>
      </c>
      <c r="D34" s="5">
        <v>185</v>
      </c>
      <c r="E34" s="8">
        <f t="shared" ref="E34:E65" si="2">C34*D34</f>
        <v>2220</v>
      </c>
      <c r="F34" s="8">
        <f t="shared" ref="F34:F65" si="3">E34*$G$2</f>
        <v>111</v>
      </c>
      <c r="G34" s="9"/>
      <c r="H34" s="9"/>
      <c r="I34" s="9"/>
    </row>
    <row r="35" spans="1:9" x14ac:dyDescent="0.25">
      <c r="A35" s="5">
        <v>34</v>
      </c>
      <c r="B35" s="6" t="s">
        <v>38</v>
      </c>
      <c r="C35" s="7">
        <v>19</v>
      </c>
      <c r="D35" s="5">
        <v>152</v>
      </c>
      <c r="E35" s="8">
        <f t="shared" si="2"/>
        <v>2888</v>
      </c>
      <c r="F35" s="8">
        <f t="shared" si="3"/>
        <v>144.4</v>
      </c>
      <c r="G35" s="9"/>
      <c r="H35" s="9"/>
      <c r="I35" s="9"/>
    </row>
    <row r="36" spans="1:9" x14ac:dyDescent="0.25">
      <c r="A36" s="5">
        <v>35</v>
      </c>
      <c r="B36" s="6" t="s">
        <v>39</v>
      </c>
      <c r="C36" s="7">
        <v>17</v>
      </c>
      <c r="D36" s="5">
        <v>186</v>
      </c>
      <c r="E36" s="8">
        <f t="shared" si="2"/>
        <v>3162</v>
      </c>
      <c r="F36" s="8">
        <f t="shared" si="3"/>
        <v>158.10000000000002</v>
      </c>
      <c r="G36" s="9"/>
      <c r="H36" s="9"/>
      <c r="I36" s="9"/>
    </row>
    <row r="37" spans="1:9" x14ac:dyDescent="0.25">
      <c r="A37" s="5">
        <v>36</v>
      </c>
      <c r="B37" s="6" t="s">
        <v>40</v>
      </c>
      <c r="C37" s="7">
        <v>19</v>
      </c>
      <c r="D37" s="5">
        <v>96</v>
      </c>
      <c r="E37" s="8">
        <f t="shared" si="2"/>
        <v>1824</v>
      </c>
      <c r="F37" s="8">
        <f t="shared" si="3"/>
        <v>91.2</v>
      </c>
      <c r="G37" s="9"/>
      <c r="H37" s="9"/>
      <c r="I37" s="9"/>
    </row>
    <row r="38" spans="1:9" x14ac:dyDescent="0.25">
      <c r="A38" s="5">
        <v>37</v>
      </c>
      <c r="B38" s="6" t="s">
        <v>41</v>
      </c>
      <c r="C38" s="7">
        <v>16</v>
      </c>
      <c r="D38" s="5">
        <v>100</v>
      </c>
      <c r="E38" s="8">
        <f t="shared" si="2"/>
        <v>1600</v>
      </c>
      <c r="F38" s="8">
        <f t="shared" si="3"/>
        <v>80</v>
      </c>
      <c r="G38" s="9"/>
      <c r="H38" s="9"/>
      <c r="I38" s="9"/>
    </row>
    <row r="39" spans="1:9" x14ac:dyDescent="0.25">
      <c r="A39" s="5">
        <v>38</v>
      </c>
      <c r="B39" s="6" t="s">
        <v>42</v>
      </c>
      <c r="C39" s="7">
        <v>18</v>
      </c>
      <c r="D39" s="5">
        <v>124</v>
      </c>
      <c r="E39" s="8">
        <f t="shared" si="2"/>
        <v>2232</v>
      </c>
      <c r="F39" s="8">
        <f t="shared" si="3"/>
        <v>111.60000000000001</v>
      </c>
      <c r="G39" s="9"/>
      <c r="H39" s="9"/>
      <c r="I39" s="9"/>
    </row>
    <row r="40" spans="1:9" x14ac:dyDescent="0.25">
      <c r="A40" s="5">
        <v>39</v>
      </c>
      <c r="B40" s="6" t="s">
        <v>43</v>
      </c>
      <c r="C40" s="7">
        <v>15.5</v>
      </c>
      <c r="D40" s="5">
        <v>71</v>
      </c>
      <c r="E40" s="8">
        <f t="shared" si="2"/>
        <v>1100.5</v>
      </c>
      <c r="F40" s="8">
        <f t="shared" si="3"/>
        <v>55.025000000000006</v>
      </c>
      <c r="G40" s="9"/>
      <c r="H40" s="9"/>
      <c r="I40" s="9"/>
    </row>
    <row r="41" spans="1:9" x14ac:dyDescent="0.25">
      <c r="A41" s="5">
        <v>40</v>
      </c>
      <c r="B41" s="6" t="s">
        <v>44</v>
      </c>
      <c r="C41" s="7">
        <v>14</v>
      </c>
      <c r="D41" s="5">
        <v>83</v>
      </c>
      <c r="E41" s="8">
        <f t="shared" si="2"/>
        <v>1162</v>
      </c>
      <c r="F41" s="8">
        <f t="shared" si="3"/>
        <v>58.1</v>
      </c>
      <c r="G41" s="9"/>
      <c r="H41" s="9"/>
      <c r="I41" s="9"/>
    </row>
    <row r="42" spans="1:9" x14ac:dyDescent="0.25">
      <c r="A42" s="5">
        <v>41</v>
      </c>
      <c r="B42" s="6" t="s">
        <v>45</v>
      </c>
      <c r="C42" s="7">
        <v>12</v>
      </c>
      <c r="D42" s="5">
        <v>100</v>
      </c>
      <c r="E42" s="8">
        <f t="shared" si="2"/>
        <v>1200</v>
      </c>
      <c r="F42" s="8">
        <f t="shared" si="3"/>
        <v>60</v>
      </c>
      <c r="G42" s="9"/>
      <c r="H42" s="9"/>
      <c r="I42" s="9"/>
    </row>
    <row r="43" spans="1:9" x14ac:dyDescent="0.25">
      <c r="A43" s="5">
        <v>42</v>
      </c>
      <c r="B43" s="6" t="s">
        <v>46</v>
      </c>
      <c r="C43" s="7">
        <v>11</v>
      </c>
      <c r="D43" s="5">
        <v>165</v>
      </c>
      <c r="E43" s="8">
        <f t="shared" si="2"/>
        <v>1815</v>
      </c>
      <c r="F43" s="8">
        <f t="shared" si="3"/>
        <v>90.75</v>
      </c>
      <c r="G43" s="9"/>
      <c r="H43" s="9"/>
      <c r="I43" s="9"/>
    </row>
    <row r="44" spans="1:9" x14ac:dyDescent="0.25">
      <c r="A44" s="5">
        <v>43</v>
      </c>
      <c r="B44" s="6" t="s">
        <v>47</v>
      </c>
      <c r="C44" s="7">
        <v>12</v>
      </c>
      <c r="D44" s="5">
        <v>145</v>
      </c>
      <c r="E44" s="8">
        <f t="shared" si="2"/>
        <v>1740</v>
      </c>
      <c r="F44" s="8">
        <f t="shared" si="3"/>
        <v>87</v>
      </c>
      <c r="G44" s="9"/>
      <c r="H44" s="9"/>
      <c r="I44" s="9"/>
    </row>
    <row r="45" spans="1:9" x14ac:dyDescent="0.25">
      <c r="A45" s="5">
        <v>44</v>
      </c>
      <c r="B45" s="6" t="s">
        <v>48</v>
      </c>
      <c r="C45" s="7">
        <v>15.5</v>
      </c>
      <c r="D45" s="5">
        <v>133</v>
      </c>
      <c r="E45" s="8">
        <f t="shared" si="2"/>
        <v>2061.5</v>
      </c>
      <c r="F45" s="8">
        <f t="shared" si="3"/>
        <v>103.075</v>
      </c>
      <c r="G45" s="9"/>
      <c r="H45" s="9"/>
      <c r="I45" s="9"/>
    </row>
    <row r="46" spans="1:9" x14ac:dyDescent="0.25">
      <c r="A46" s="5">
        <v>45</v>
      </c>
      <c r="B46" s="6" t="s">
        <v>49</v>
      </c>
      <c r="C46" s="7">
        <v>11.75</v>
      </c>
      <c r="D46" s="5">
        <v>92</v>
      </c>
      <c r="E46" s="8">
        <f t="shared" si="2"/>
        <v>1081</v>
      </c>
      <c r="F46" s="8">
        <f t="shared" si="3"/>
        <v>54.050000000000004</v>
      </c>
      <c r="G46" s="9"/>
      <c r="H46" s="9"/>
      <c r="I46" s="9"/>
    </row>
    <row r="47" spans="1:9" x14ac:dyDescent="0.25">
      <c r="A47" s="5">
        <v>46</v>
      </c>
      <c r="B47" s="6" t="s">
        <v>50</v>
      </c>
      <c r="C47" s="7">
        <v>12</v>
      </c>
      <c r="D47" s="5">
        <v>74</v>
      </c>
      <c r="E47" s="8">
        <f t="shared" si="2"/>
        <v>888</v>
      </c>
      <c r="F47" s="8">
        <f t="shared" si="3"/>
        <v>44.400000000000006</v>
      </c>
      <c r="G47" s="9"/>
      <c r="H47" s="9"/>
      <c r="I47" s="9"/>
    </row>
    <row r="48" spans="1:9" x14ac:dyDescent="0.25">
      <c r="A48" s="5">
        <v>47</v>
      </c>
      <c r="B48" s="6" t="s">
        <v>51</v>
      </c>
      <c r="C48" s="7">
        <v>19</v>
      </c>
      <c r="D48" s="5">
        <v>201</v>
      </c>
      <c r="E48" s="8">
        <f t="shared" si="2"/>
        <v>3819</v>
      </c>
      <c r="F48" s="8">
        <f t="shared" si="3"/>
        <v>190.95000000000002</v>
      </c>
      <c r="G48" s="9"/>
      <c r="H48" s="9"/>
      <c r="I48" s="9"/>
    </row>
    <row r="49" spans="1:9" x14ac:dyDescent="0.25">
      <c r="A49" s="5">
        <v>48</v>
      </c>
      <c r="B49" s="6" t="s">
        <v>52</v>
      </c>
      <c r="C49" s="7">
        <v>17</v>
      </c>
      <c r="D49" s="5">
        <v>112</v>
      </c>
      <c r="E49" s="8">
        <f t="shared" si="2"/>
        <v>1904</v>
      </c>
      <c r="F49" s="8">
        <f t="shared" si="3"/>
        <v>95.2</v>
      </c>
      <c r="G49" s="9"/>
      <c r="H49" s="9"/>
      <c r="I49" s="9"/>
    </row>
    <row r="50" spans="1:9" x14ac:dyDescent="0.25">
      <c r="A50" s="5">
        <v>49</v>
      </c>
      <c r="B50" s="6" t="s">
        <v>53</v>
      </c>
      <c r="C50" s="7">
        <v>19</v>
      </c>
      <c r="D50" s="5">
        <v>166</v>
      </c>
      <c r="E50" s="8">
        <f t="shared" si="2"/>
        <v>3154</v>
      </c>
      <c r="F50" s="8">
        <f t="shared" si="3"/>
        <v>157.70000000000002</v>
      </c>
      <c r="G50" s="9"/>
      <c r="H50" s="9"/>
      <c r="I50" s="9"/>
    </row>
    <row r="51" spans="1:9" x14ac:dyDescent="0.25">
      <c r="A51" s="5">
        <v>50</v>
      </c>
      <c r="B51" s="6" t="s">
        <v>54</v>
      </c>
      <c r="C51" s="7">
        <v>16</v>
      </c>
      <c r="D51" s="5">
        <v>160</v>
      </c>
      <c r="E51" s="8">
        <f t="shared" si="2"/>
        <v>2560</v>
      </c>
      <c r="F51" s="8">
        <f t="shared" si="3"/>
        <v>128</v>
      </c>
      <c r="G51" s="9"/>
      <c r="H51" s="9"/>
      <c r="I51" s="9"/>
    </row>
    <row r="52" spans="1:9" x14ac:dyDescent="0.25">
      <c r="A52" s="5">
        <v>51</v>
      </c>
      <c r="B52" s="6" t="s">
        <v>55</v>
      </c>
      <c r="C52" s="7">
        <v>18</v>
      </c>
      <c r="D52" s="5">
        <v>117</v>
      </c>
      <c r="E52" s="8">
        <f t="shared" si="2"/>
        <v>2106</v>
      </c>
      <c r="F52" s="8">
        <f t="shared" si="3"/>
        <v>105.30000000000001</v>
      </c>
      <c r="G52" s="9"/>
      <c r="H52" s="9"/>
      <c r="I52" s="9"/>
    </row>
    <row r="53" spans="1:9" x14ac:dyDescent="0.25">
      <c r="A53" s="5">
        <v>52</v>
      </c>
      <c r="B53" s="6" t="s">
        <v>56</v>
      </c>
      <c r="C53" s="7">
        <v>11.5</v>
      </c>
      <c r="D53" s="5">
        <v>152</v>
      </c>
      <c r="E53" s="8">
        <f t="shared" si="2"/>
        <v>1748</v>
      </c>
      <c r="F53" s="8">
        <f t="shared" si="3"/>
        <v>87.4</v>
      </c>
      <c r="G53" s="9"/>
      <c r="H53" s="9"/>
      <c r="I53" s="9"/>
    </row>
    <row r="54" spans="1:9" x14ac:dyDescent="0.25">
      <c r="A54" s="5">
        <v>53</v>
      </c>
      <c r="B54" s="6" t="s">
        <v>57</v>
      </c>
      <c r="C54" s="7">
        <v>15.5</v>
      </c>
      <c r="D54" s="5">
        <v>129</v>
      </c>
      <c r="E54" s="8">
        <f t="shared" si="2"/>
        <v>1999.5</v>
      </c>
      <c r="F54" s="8">
        <f t="shared" si="3"/>
        <v>99.975000000000009</v>
      </c>
      <c r="G54" s="9"/>
      <c r="H54" s="9"/>
      <c r="I54" s="9"/>
    </row>
    <row r="55" spans="1:9" x14ac:dyDescent="0.25">
      <c r="A55" s="5">
        <v>54</v>
      </c>
      <c r="B55" s="6" t="s">
        <v>58</v>
      </c>
      <c r="C55" s="7">
        <v>15.5</v>
      </c>
      <c r="D55" s="5">
        <v>74</v>
      </c>
      <c r="E55" s="8">
        <f t="shared" si="2"/>
        <v>1147</v>
      </c>
      <c r="F55" s="8">
        <f t="shared" si="3"/>
        <v>57.35</v>
      </c>
      <c r="G55" s="9"/>
      <c r="H55" s="9"/>
      <c r="I55" s="9"/>
    </row>
    <row r="56" spans="1:9" x14ac:dyDescent="0.25">
      <c r="A56" s="5">
        <v>55</v>
      </c>
      <c r="B56" s="6" t="s">
        <v>59</v>
      </c>
      <c r="C56" s="7">
        <v>12</v>
      </c>
      <c r="D56" s="5">
        <v>111</v>
      </c>
      <c r="E56" s="8">
        <f t="shared" si="2"/>
        <v>1332</v>
      </c>
      <c r="F56" s="8">
        <f t="shared" si="3"/>
        <v>66.600000000000009</v>
      </c>
      <c r="G56" s="9"/>
      <c r="H56" s="9"/>
      <c r="I56" s="9"/>
    </row>
    <row r="57" spans="1:9" x14ac:dyDescent="0.25">
      <c r="A57" s="5">
        <v>56</v>
      </c>
      <c r="B57" s="6" t="s">
        <v>60</v>
      </c>
      <c r="C57" s="7">
        <v>15.5</v>
      </c>
      <c r="D57" s="5">
        <v>132</v>
      </c>
      <c r="E57" s="8">
        <f t="shared" si="2"/>
        <v>2046</v>
      </c>
      <c r="F57" s="8">
        <f t="shared" si="3"/>
        <v>102.30000000000001</v>
      </c>
      <c r="G57" s="9"/>
      <c r="H57" s="9"/>
      <c r="I57" s="9"/>
    </row>
    <row r="58" spans="1:9" x14ac:dyDescent="0.25">
      <c r="A58" s="5">
        <v>57</v>
      </c>
      <c r="B58" s="6" t="s">
        <v>61</v>
      </c>
      <c r="C58" s="7">
        <v>11.75</v>
      </c>
      <c r="D58" s="5">
        <v>100</v>
      </c>
      <c r="E58" s="8">
        <f t="shared" si="2"/>
        <v>1175</v>
      </c>
      <c r="F58" s="8">
        <f t="shared" si="3"/>
        <v>58.75</v>
      </c>
      <c r="G58" s="9"/>
      <c r="H58" s="9"/>
      <c r="I58" s="9"/>
    </row>
    <row r="59" spans="1:9" x14ac:dyDescent="0.25">
      <c r="A59" s="5">
        <v>58</v>
      </c>
      <c r="B59" s="6" t="s">
        <v>62</v>
      </c>
      <c r="C59" s="7">
        <v>12</v>
      </c>
      <c r="D59" s="5">
        <v>187</v>
      </c>
      <c r="E59" s="8">
        <f t="shared" si="2"/>
        <v>2244</v>
      </c>
      <c r="F59" s="8">
        <f t="shared" si="3"/>
        <v>112.2</v>
      </c>
      <c r="G59" s="9"/>
      <c r="H59" s="9"/>
      <c r="I59" s="9"/>
    </row>
    <row r="60" spans="1:9" x14ac:dyDescent="0.25">
      <c r="A60" s="5">
        <v>59</v>
      </c>
      <c r="B60" s="6" t="s">
        <v>63</v>
      </c>
      <c r="C60" s="7">
        <v>19</v>
      </c>
      <c r="D60" s="5">
        <v>70</v>
      </c>
      <c r="E60" s="8">
        <f t="shared" si="2"/>
        <v>1330</v>
      </c>
      <c r="F60" s="8">
        <f t="shared" si="3"/>
        <v>66.5</v>
      </c>
      <c r="G60" s="9"/>
      <c r="H60" s="9"/>
      <c r="I60" s="9"/>
    </row>
    <row r="61" spans="1:9" x14ac:dyDescent="0.25">
      <c r="A61" s="5">
        <v>60</v>
      </c>
      <c r="B61" s="6" t="s">
        <v>64</v>
      </c>
      <c r="C61" s="7">
        <v>17</v>
      </c>
      <c r="D61" s="5">
        <v>138</v>
      </c>
      <c r="E61" s="8">
        <f t="shared" si="2"/>
        <v>2346</v>
      </c>
      <c r="F61" s="8">
        <f t="shared" si="3"/>
        <v>117.30000000000001</v>
      </c>
      <c r="G61" s="9"/>
      <c r="H61" s="9"/>
      <c r="I61" s="9"/>
    </row>
    <row r="62" spans="1:9" x14ac:dyDescent="0.25">
      <c r="A62" s="5">
        <v>61</v>
      </c>
      <c r="B62" s="6" t="s">
        <v>65</v>
      </c>
      <c r="C62" s="7">
        <v>19</v>
      </c>
      <c r="D62" s="5">
        <v>72</v>
      </c>
      <c r="E62" s="8">
        <f t="shared" si="2"/>
        <v>1368</v>
      </c>
      <c r="F62" s="8">
        <f t="shared" si="3"/>
        <v>68.400000000000006</v>
      </c>
      <c r="G62" s="9"/>
      <c r="H62" s="9"/>
      <c r="I62" s="9"/>
    </row>
    <row r="63" spans="1:9" x14ac:dyDescent="0.25">
      <c r="A63" s="5">
        <v>62</v>
      </c>
      <c r="B63" s="6" t="s">
        <v>66</v>
      </c>
      <c r="C63" s="7">
        <v>16</v>
      </c>
      <c r="D63" s="5">
        <v>130</v>
      </c>
      <c r="E63" s="8">
        <f t="shared" si="2"/>
        <v>2080</v>
      </c>
      <c r="F63" s="8">
        <f t="shared" si="3"/>
        <v>104</v>
      </c>
      <c r="G63" s="9"/>
      <c r="H63" s="9"/>
      <c r="I63" s="9"/>
    </row>
    <row r="64" spans="1:9" x14ac:dyDescent="0.25">
      <c r="A64" s="5">
        <v>63</v>
      </c>
      <c r="B64" s="6" t="s">
        <v>67</v>
      </c>
      <c r="C64" s="7">
        <v>18</v>
      </c>
      <c r="D64" s="5">
        <v>208</v>
      </c>
      <c r="E64" s="8">
        <f t="shared" si="2"/>
        <v>3744</v>
      </c>
      <c r="F64" s="8">
        <f t="shared" si="3"/>
        <v>187.20000000000002</v>
      </c>
      <c r="G64" s="9"/>
      <c r="H64" s="9"/>
      <c r="I64" s="9"/>
    </row>
    <row r="65" spans="1:9" x14ac:dyDescent="0.25">
      <c r="A65" s="5">
        <v>64</v>
      </c>
      <c r="B65" s="6" t="s">
        <v>68</v>
      </c>
      <c r="C65" s="7">
        <v>11</v>
      </c>
      <c r="D65" s="5">
        <v>97</v>
      </c>
      <c r="E65" s="8">
        <f t="shared" si="2"/>
        <v>1067</v>
      </c>
      <c r="F65" s="8">
        <f t="shared" si="3"/>
        <v>53.35</v>
      </c>
      <c r="G65" s="9"/>
      <c r="H65" s="9"/>
      <c r="I65" s="9"/>
    </row>
    <row r="66" spans="1:9" x14ac:dyDescent="0.25">
      <c r="A66" s="5">
        <v>65</v>
      </c>
      <c r="B66" s="6" t="s">
        <v>69</v>
      </c>
      <c r="C66" s="7">
        <v>15.5</v>
      </c>
      <c r="D66" s="5">
        <v>199</v>
      </c>
      <c r="E66" s="8">
        <f t="shared" ref="E66:E71" si="4">C66*D66</f>
        <v>3084.5</v>
      </c>
      <c r="F66" s="8">
        <f t="shared" ref="F66:F71" si="5">E66*$G$2</f>
        <v>154.22500000000002</v>
      </c>
      <c r="G66" s="9"/>
      <c r="H66" s="9"/>
      <c r="I66" s="9"/>
    </row>
    <row r="67" spans="1:9" x14ac:dyDescent="0.25">
      <c r="A67" s="5">
        <v>66</v>
      </c>
      <c r="B67" s="6" t="s">
        <v>70</v>
      </c>
      <c r="C67" s="7">
        <v>11</v>
      </c>
      <c r="D67" s="5">
        <v>160</v>
      </c>
      <c r="E67" s="8">
        <f t="shared" si="4"/>
        <v>1760</v>
      </c>
      <c r="F67" s="8">
        <f t="shared" si="5"/>
        <v>88</v>
      </c>
      <c r="G67" s="9"/>
      <c r="H67" s="9"/>
      <c r="I67" s="9"/>
    </row>
    <row r="68" spans="1:9" x14ac:dyDescent="0.25">
      <c r="A68" s="5">
        <v>67</v>
      </c>
      <c r="B68" s="6" t="s">
        <v>71</v>
      </c>
      <c r="C68" s="7">
        <v>12</v>
      </c>
      <c r="D68" s="5">
        <v>156</v>
      </c>
      <c r="E68" s="8">
        <f t="shared" si="4"/>
        <v>1872</v>
      </c>
      <c r="F68" s="8">
        <f t="shared" si="5"/>
        <v>93.600000000000009</v>
      </c>
      <c r="G68" s="9"/>
      <c r="H68" s="9"/>
      <c r="I68" s="9"/>
    </row>
    <row r="69" spans="1:9" x14ac:dyDescent="0.25">
      <c r="A69" s="5">
        <v>68</v>
      </c>
      <c r="B69" s="6" t="s">
        <v>72</v>
      </c>
      <c r="C69" s="7">
        <v>15.5</v>
      </c>
      <c r="D69" s="5">
        <v>117</v>
      </c>
      <c r="E69" s="8">
        <f t="shared" si="4"/>
        <v>1813.5</v>
      </c>
      <c r="F69" s="8">
        <f t="shared" si="5"/>
        <v>90.675000000000011</v>
      </c>
      <c r="G69" s="9"/>
      <c r="H69" s="9"/>
      <c r="I69" s="9"/>
    </row>
    <row r="70" spans="1:9" x14ac:dyDescent="0.25">
      <c r="A70" s="5">
        <v>69</v>
      </c>
      <c r="B70" s="6" t="s">
        <v>73</v>
      </c>
      <c r="C70" s="7">
        <v>11</v>
      </c>
      <c r="D70" s="5">
        <v>76</v>
      </c>
      <c r="E70" s="8">
        <f t="shared" si="4"/>
        <v>836</v>
      </c>
      <c r="F70" s="8">
        <f t="shared" si="5"/>
        <v>41.800000000000004</v>
      </c>
      <c r="G70" s="9"/>
      <c r="H70" s="9"/>
      <c r="I70" s="9"/>
    </row>
    <row r="71" spans="1:9" x14ac:dyDescent="0.25">
      <c r="A71" s="5">
        <v>70</v>
      </c>
      <c r="B71" s="6" t="s">
        <v>74</v>
      </c>
      <c r="C71" s="7">
        <v>12</v>
      </c>
      <c r="D71" s="5">
        <v>175</v>
      </c>
      <c r="E71" s="8">
        <f t="shared" si="4"/>
        <v>2100</v>
      </c>
      <c r="F71" s="8">
        <f t="shared" si="5"/>
        <v>105</v>
      </c>
      <c r="G71" s="9"/>
      <c r="H71" s="9"/>
      <c r="I71" s="9"/>
    </row>
    <row r="72" spans="1:9" x14ac:dyDescent="0.25">
      <c r="A72" s="9"/>
      <c r="B72" s="16" t="s">
        <v>75</v>
      </c>
      <c r="C72" s="15">
        <f>SUM(C2:C71)</f>
        <v>1060.5</v>
      </c>
      <c r="D72" s="18">
        <f>SUM(D2:D71)</f>
        <v>9163</v>
      </c>
      <c r="E72" s="19">
        <f>SUM(E2:E71)</f>
        <v>139887.5</v>
      </c>
      <c r="F72" s="19">
        <f>SUM(F2:F71)</f>
        <v>6994.3750000000009</v>
      </c>
      <c r="G72" s="9"/>
      <c r="H72" s="9"/>
      <c r="I72" s="9"/>
    </row>
    <row r="73" spans="1:9" x14ac:dyDescent="0.25">
      <c r="A73" s="9"/>
      <c r="B73" s="16" t="s">
        <v>76</v>
      </c>
      <c r="C73" s="15">
        <f>AVERAGE(C2:C71)</f>
        <v>15.15</v>
      </c>
      <c r="D73" s="18">
        <f>AVERAGE(D2:D71)</f>
        <v>130.9</v>
      </c>
      <c r="E73" s="19">
        <f>AVERAGE(E2:E71)</f>
        <v>1998.3928571428571</v>
      </c>
      <c r="F73" s="19">
        <f>AVERAGE(F2:F71)</f>
        <v>99.919642857142875</v>
      </c>
      <c r="G73" s="9"/>
      <c r="H73" s="9"/>
      <c r="I73" s="9"/>
    </row>
    <row r="74" spans="1:9" x14ac:dyDescent="0.25">
      <c r="A74" s="17"/>
      <c r="B74" s="16" t="s">
        <v>78</v>
      </c>
      <c r="C74" s="18">
        <f>COUNT(C2:C71)</f>
        <v>70</v>
      </c>
      <c r="D74" s="18">
        <f>COUNT(D2:D71)</f>
        <v>70</v>
      </c>
      <c r="E74" s="18">
        <f>COUNT(E2:E71)</f>
        <v>70</v>
      </c>
      <c r="F74" s="18">
        <f>COUNT(F2:F71)</f>
        <v>70</v>
      </c>
      <c r="G74" s="9"/>
      <c r="H74" s="9"/>
      <c r="I74" s="9"/>
    </row>
    <row r="75" spans="1:9" x14ac:dyDescent="0.25">
      <c r="A75" s="9"/>
      <c r="B75" s="6"/>
      <c r="C75" s="10"/>
      <c r="D75" s="5"/>
      <c r="E75" s="8"/>
      <c r="F75" s="8"/>
      <c r="G75" s="9"/>
      <c r="H75" s="9"/>
      <c r="I75" s="9"/>
    </row>
    <row r="76" spans="1:9" x14ac:dyDescent="0.25">
      <c r="A76" s="9"/>
      <c r="B76" s="6"/>
      <c r="C76" s="10"/>
      <c r="D76" s="5"/>
      <c r="E76" s="8"/>
      <c r="F76" s="8"/>
      <c r="G76" s="9"/>
      <c r="H76" s="9"/>
      <c r="I76" s="9"/>
    </row>
  </sheetData>
  <pageMargins left="0.7" right="0.7" top="0.75" bottom="0.75" header="0.3" footer="0.3"/>
  <pageSetup orientation="portrait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0190-D74D-40B0-AB7F-47E877D8C9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3711-2305-483B-968F-8E5281F977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ADEBUSOLA ADEOSUN</dc:creator>
  <cp:lastModifiedBy>ADEBUSOLA ADEOSUN</cp:lastModifiedBy>
  <dcterms:created xsi:type="dcterms:W3CDTF">2026-02-18T13:48:56Z</dcterms:created>
  <dcterms:modified xsi:type="dcterms:W3CDTF">2026-02-18T16:36:11Z</dcterms:modified>
</cp:coreProperties>
</file>